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n\OneDrive\Bureau\stage initiation\"/>
    </mc:Choice>
  </mc:AlternateContent>
  <xr:revisionPtr revIDLastSave="0" documentId="13_ncr:1_{4C968337-AFC1-4425-927C-731E1C006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T " sheetId="6" r:id="rId1"/>
    <sheet name="Passerelle" sheetId="5" r:id="rId2"/>
    <sheet name="PPA " sheetId="4" r:id="rId3"/>
  </sheets>
  <definedNames>
    <definedName name="_xlnm._FilterDatabase" localSheetId="0" hidden="1">'GAT '!$A$3:$H$70</definedName>
    <definedName name="_xlnm._FilterDatabase" localSheetId="1" hidden="1">Passerelle!$A$3:$L$47</definedName>
    <definedName name="_xlnm._FilterDatabase" localSheetId="2" hidden="1">'PPA '!$A$3:$G$24</definedName>
    <definedName name="_xlnm.Print_Area" localSheetId="0">'GAT '!$A$1:$F$70</definedName>
    <definedName name="_xlnm.Print_Area" localSheetId="1">Passerelle!$A$1:$F$47</definedName>
    <definedName name="_xlnm.Print_Area" localSheetId="2">'PPA '!$A$1:$F$24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4" l="1"/>
  <c r="D22" i="4"/>
  <c r="D20" i="4"/>
  <c r="D18" i="4"/>
  <c r="D17" i="4"/>
  <c r="D16" i="4"/>
  <c r="D15" i="4"/>
  <c r="D14" i="4"/>
  <c r="D11" i="4"/>
  <c r="D10" i="4"/>
  <c r="D8" i="4"/>
  <c r="D5" i="4"/>
  <c r="D6" i="4"/>
  <c r="D7" i="4"/>
  <c r="D9" i="4"/>
  <c r="D12" i="4"/>
  <c r="D13" i="4"/>
  <c r="D19" i="4"/>
  <c r="D21" i="4"/>
  <c r="D24" i="4"/>
  <c r="D4" i="4"/>
  <c r="D47" i="5"/>
  <c r="D46" i="5"/>
  <c r="D45" i="5"/>
  <c r="D43" i="5"/>
  <c r="D42" i="5"/>
  <c r="D40" i="5"/>
  <c r="D37" i="5"/>
  <c r="D35" i="5"/>
  <c r="D33" i="5"/>
  <c r="D31" i="5"/>
  <c r="D30" i="5"/>
  <c r="D28" i="5"/>
  <c r="D27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8" i="5"/>
  <c r="D7" i="5"/>
  <c r="D6" i="5"/>
  <c r="D5" i="5"/>
  <c r="D9" i="5"/>
  <c r="D26" i="5"/>
  <c r="D29" i="5"/>
  <c r="D32" i="5"/>
  <c r="D34" i="5"/>
  <c r="D36" i="5"/>
  <c r="D38" i="5"/>
  <c r="D39" i="5"/>
  <c r="D41" i="5"/>
  <c r="D44" i="5"/>
  <c r="D4" i="5"/>
  <c r="D59" i="6"/>
  <c r="D58" i="6"/>
  <c r="D57" i="6"/>
  <c r="D56" i="6"/>
  <c r="D55" i="6"/>
  <c r="D53" i="6"/>
  <c r="D52" i="6"/>
  <c r="D51" i="6"/>
  <c r="D50" i="6"/>
  <c r="D48" i="6"/>
  <c r="D46" i="6"/>
  <c r="D44" i="6"/>
  <c r="D43" i="6"/>
  <c r="D41" i="6"/>
  <c r="D39" i="6"/>
  <c r="D38" i="6"/>
  <c r="D37" i="6"/>
  <c r="D36" i="6"/>
  <c r="D35" i="6"/>
  <c r="D34" i="6"/>
  <c r="D32" i="6"/>
  <c r="D31" i="6"/>
  <c r="D29" i="6"/>
  <c r="D28" i="6"/>
  <c r="D27" i="6"/>
  <c r="D25" i="6"/>
  <c r="D22" i="6"/>
  <c r="D18" i="6"/>
  <c r="D16" i="6"/>
  <c r="D14" i="6"/>
  <c r="D13" i="6"/>
  <c r="D12" i="6"/>
  <c r="D11" i="6"/>
  <c r="D10" i="6"/>
  <c r="D9" i="6"/>
  <c r="D8" i="6"/>
  <c r="D7" i="6"/>
  <c r="D6" i="6"/>
  <c r="D5" i="6"/>
  <c r="D15" i="6"/>
  <c r="D17" i="6"/>
  <c r="D19" i="6"/>
  <c r="D20" i="6"/>
  <c r="D21" i="6"/>
  <c r="D23" i="6"/>
  <c r="D24" i="6"/>
  <c r="D26" i="6"/>
  <c r="D30" i="6"/>
  <c r="D33" i="6"/>
  <c r="D40" i="6"/>
  <c r="D42" i="6"/>
  <c r="D45" i="6"/>
  <c r="D47" i="6"/>
  <c r="D49" i="6"/>
  <c r="D54" i="6"/>
  <c r="D4" i="6"/>
</calcChain>
</file>

<file path=xl/sharedStrings.xml><?xml version="1.0" encoding="utf-8"?>
<sst xmlns="http://schemas.openxmlformats.org/spreadsheetml/2006/main" count="196" uniqueCount="105">
  <si>
    <t>Matricule</t>
  </si>
  <si>
    <t xml:space="preserve">Nom et prénom </t>
  </si>
  <si>
    <t xml:space="preserve">Affectation </t>
  </si>
  <si>
    <t>Hzami Abderrahmen</t>
  </si>
  <si>
    <t>AITC</t>
  </si>
  <si>
    <t>Zrida Hassen</t>
  </si>
  <si>
    <t xml:space="preserve">Bani Kamel </t>
  </si>
  <si>
    <t>Khriji Belgacem</t>
  </si>
  <si>
    <t>Mondher Guizeni</t>
  </si>
  <si>
    <t>Souissi Majdi</t>
  </si>
  <si>
    <t>AIST</t>
  </si>
  <si>
    <t>Ben Saad Mounir</t>
  </si>
  <si>
    <t>Issami Anouar</t>
  </si>
  <si>
    <t>AITN</t>
  </si>
  <si>
    <t>Bououn Saber</t>
  </si>
  <si>
    <t>Bouzrad Imed Eddine</t>
  </si>
  <si>
    <t>AIGK</t>
  </si>
  <si>
    <t>Amer Imed</t>
  </si>
  <si>
    <t>AIDZ</t>
  </si>
  <si>
    <t>Douahem Abdelfattah</t>
  </si>
  <si>
    <t>Boussemi Abdelahmid</t>
  </si>
  <si>
    <t>AITAD</t>
  </si>
  <si>
    <t>Hkiri Kamel</t>
  </si>
  <si>
    <t>Saada Adel</t>
  </si>
  <si>
    <t>Farhati Lassad</t>
  </si>
  <si>
    <t>Mejri Lotfi</t>
  </si>
  <si>
    <t>Boughanmi Arbi</t>
  </si>
  <si>
    <t>Frigui Taieb</t>
  </si>
  <si>
    <t>Chihaoui Noureddine</t>
  </si>
  <si>
    <t>Ben Jbara Mehdi</t>
  </si>
  <si>
    <t>Chaabi Belhassen</t>
  </si>
  <si>
    <t>Attia Amjed</t>
  </si>
  <si>
    <t>Hawa Aymen</t>
  </si>
  <si>
    <t>Aousji Saber</t>
  </si>
  <si>
    <t>Abassi Atef</t>
  </si>
  <si>
    <t>Trabelsi Malek</t>
  </si>
  <si>
    <t>Bouden Salem</t>
  </si>
  <si>
    <t>Jlassi Fakhreddine</t>
  </si>
  <si>
    <t>Karmous Sawssen</t>
  </si>
  <si>
    <t>Dhifallah Dalila</t>
  </si>
  <si>
    <t>zoghlemi Kais</t>
  </si>
  <si>
    <t>Chitioui Med Hazem</t>
  </si>
  <si>
    <t>Moumni Karim</t>
  </si>
  <si>
    <t>Ben Abed Ahmed</t>
  </si>
  <si>
    <t>Halel Mehdi</t>
  </si>
  <si>
    <t>Testouri Abderrahim</t>
  </si>
  <si>
    <t>Bounagra Raouf</t>
  </si>
  <si>
    <t>Ouertani Asma</t>
  </si>
  <si>
    <t>Harrazi Hichem</t>
  </si>
  <si>
    <t>Ben Haddada Wafa</t>
  </si>
  <si>
    <t>Khlifi Ahlem</t>
  </si>
  <si>
    <t>Saddi Aymen</t>
  </si>
  <si>
    <t>Chahbani Raouf</t>
  </si>
  <si>
    <t>Naouar Tarek</t>
  </si>
  <si>
    <t>Mourou Houcine</t>
  </si>
  <si>
    <t>Ben Yaacoub Hassen</t>
  </si>
  <si>
    <t>Ben Belgacem Lazher</t>
  </si>
  <si>
    <t>Souissi Hammadi</t>
  </si>
  <si>
    <t>Imed Fareh</t>
  </si>
  <si>
    <t>Sabeur Abdeljaoued</t>
  </si>
  <si>
    <t>Mohamed Lamjed Sahli</t>
  </si>
  <si>
    <t>Sami Lakhnech</t>
  </si>
  <si>
    <t>Lotfi Bouallégue</t>
  </si>
  <si>
    <t>Mounir Jelassi</t>
  </si>
  <si>
    <t>Slim Gharbi</t>
  </si>
  <si>
    <t>Slim Lamouchi</t>
  </si>
  <si>
    <t>Mohamed Ali Tafnouti</t>
  </si>
  <si>
    <t>Houcine Beldi</t>
  </si>
  <si>
    <t>Issam Bouhéni</t>
  </si>
  <si>
    <t>Hamed Ben Asker</t>
  </si>
  <si>
    <t>Hatem Elouéfi</t>
  </si>
  <si>
    <t>Hamdi Touati</t>
  </si>
  <si>
    <t>Hasséne Tourkhani</t>
  </si>
  <si>
    <t>Med Walid Ben Khlifa</t>
  </si>
  <si>
    <t>Anis Troudi</t>
  </si>
  <si>
    <t>kilani ben Hssine</t>
  </si>
  <si>
    <t>Romdhane Amari</t>
  </si>
  <si>
    <t xml:space="preserve">Med Ali Blibech                     </t>
  </si>
  <si>
    <t xml:space="preserve">Moez Jrad                              </t>
  </si>
  <si>
    <t>Youssef Ben Hssen</t>
  </si>
  <si>
    <t xml:space="preserve">Mehrez Belakhel           </t>
  </si>
  <si>
    <t xml:space="preserve">Mongi Jlassi                           </t>
  </si>
  <si>
    <t>Abdelbasset Abbess</t>
  </si>
  <si>
    <t>Rassem Chetoui</t>
  </si>
  <si>
    <t>Abdelkader Hmida</t>
  </si>
  <si>
    <t>Tarek Nçib</t>
  </si>
  <si>
    <t>Hichem Kaabechi</t>
  </si>
  <si>
    <t xml:space="preserve">Moncef Chaibi                       </t>
  </si>
  <si>
    <t>AIGM</t>
  </si>
  <si>
    <t>Moez Blioua</t>
  </si>
  <si>
    <t xml:space="preserve">Mohamed Ben Slimen </t>
  </si>
  <si>
    <t xml:space="preserve">Hamed Nefzi                         </t>
  </si>
  <si>
    <t xml:space="preserve">Moncef Ben Hdada              </t>
  </si>
  <si>
    <t xml:space="preserve">Mohamed Sifaoui                 </t>
  </si>
  <si>
    <t>Abdelaziz Ben Youssef</t>
  </si>
  <si>
    <t>Nebil Ben yakoub</t>
  </si>
  <si>
    <t>Samir Touhemi</t>
  </si>
  <si>
    <t>Noureddine Khouildi</t>
  </si>
  <si>
    <t xml:space="preserve"> Date de naissance</t>
  </si>
  <si>
    <t>Date de naissance</t>
  </si>
  <si>
    <t>Age en 2024</t>
  </si>
  <si>
    <t>Mohamed adel  Ismail</t>
  </si>
  <si>
    <t xml:space="preserve">Liste des agents gestionnaires aire de trafic </t>
  </si>
  <si>
    <t xml:space="preserve">Liste des agents passerelle téléscopique </t>
  </si>
  <si>
    <t xml:space="preserve">Liste des agents PPA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</si>
</sst>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u val="double"/>
      <sz val="28"/>
      <color theme="1"/>
      <name val="Times New Roman"/>
      <family val="1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color rgb="FF000000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4"/>
      <color rgb="FF000000"/>
      <name val="Cambria"/>
      <family val="1"/>
      <scheme val="major"/>
    </font>
    <font>
      <sz val="14"/>
      <name val="Cambria"/>
      <family val="1"/>
      <scheme val="major"/>
    </font>
    <font>
      <sz val="14"/>
      <color rgb="FFFF0000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6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readingOrder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 readingOrder="1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0" borderId="0" xfId="1" applyFont="1"/>
    <xf numFmtId="0" fontId="4" fillId="3" borderId="3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6" fillId="0" borderId="5" xfId="1" applyFont="1" applyBorder="1"/>
    <xf numFmtId="0" fontId="5" fillId="3" borderId="2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0" fillId="0" borderId="6" xfId="1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 indent="1" readingOrder="1"/>
    </xf>
    <xf numFmtId="0" fontId="11" fillId="0" borderId="0" xfId="1" applyFont="1"/>
    <xf numFmtId="0" fontId="10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 readingOrder="1"/>
    </xf>
    <xf numFmtId="0" fontId="4" fillId="3" borderId="2" xfId="1" applyFont="1" applyFill="1" applyBorder="1" applyAlignment="1">
      <alignment horizontal="left" vertical="center" wrapText="1" readingOrder="1"/>
    </xf>
    <xf numFmtId="0" fontId="12" fillId="0" borderId="0" xfId="1" applyFont="1"/>
    <xf numFmtId="0" fontId="4" fillId="3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 vertical="center" wrapText="1" readingOrder="1"/>
    </xf>
    <xf numFmtId="0" fontId="4" fillId="3" borderId="1" xfId="1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left" vertical="center" wrapText="1" readingOrder="1"/>
    </xf>
    <xf numFmtId="0" fontId="13" fillId="0" borderId="0" xfId="1" applyFont="1"/>
    <xf numFmtId="0" fontId="5" fillId="3" borderId="2" xfId="1" applyFont="1" applyFill="1" applyBorder="1" applyAlignment="1">
      <alignment horizontal="left" vertical="center" wrapText="1" readingOrder="1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 readingOrder="1"/>
    </xf>
    <xf numFmtId="0" fontId="4" fillId="3" borderId="2" xfId="1" applyFont="1" applyFill="1" applyBorder="1" applyAlignment="1">
      <alignment horizontal="center" vertical="center" wrapText="1" readingOrder="1"/>
    </xf>
    <xf numFmtId="0" fontId="10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 readingOrder="1"/>
    </xf>
    <xf numFmtId="0" fontId="4" fillId="4" borderId="1" xfId="1" applyFont="1" applyFill="1" applyBorder="1" applyAlignment="1">
      <alignment horizontal="left" vertical="center" wrapText="1" indent="1" readingOrder="1"/>
    </xf>
    <xf numFmtId="0" fontId="10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 readingOrder="1"/>
    </xf>
    <xf numFmtId="0" fontId="7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 wrapText="1" readingOrder="1"/>
    </xf>
    <xf numFmtId="0" fontId="10" fillId="6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 readingOrder="1"/>
    </xf>
    <xf numFmtId="0" fontId="7" fillId="6" borderId="1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vertical="center" wrapText="1"/>
    </xf>
    <xf numFmtId="0" fontId="10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left" vertical="center" wrapText="1" readingOrder="1"/>
    </xf>
    <xf numFmtId="0" fontId="4" fillId="8" borderId="1" xfId="1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left" vertical="center" wrapText="1" readingOrder="1"/>
    </xf>
    <xf numFmtId="0" fontId="4" fillId="0" borderId="7" xfId="1" applyFont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 readingOrder="1"/>
    </xf>
    <xf numFmtId="0" fontId="5" fillId="8" borderId="4" xfId="1" applyFont="1" applyFill="1" applyBorder="1" applyAlignment="1">
      <alignment horizontal="center" vertical="center" wrapText="1" readingOrder="1"/>
    </xf>
    <xf numFmtId="0" fontId="5" fillId="0" borderId="0" xfId="1" applyFont="1" applyAlignment="1">
      <alignment horizontal="center" vertical="center" wrapText="1" readingOrder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4" fillId="8" borderId="1" xfId="1" applyNumberFormat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 wrapText="1" readingOrder="1"/>
    </xf>
    <xf numFmtId="164" fontId="4" fillId="4" borderId="1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164" fontId="4" fillId="7" borderId="1" xfId="1" applyNumberFormat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 readingOrder="1"/>
    </xf>
    <xf numFmtId="0" fontId="5" fillId="7" borderId="3" xfId="1" applyFont="1" applyFill="1" applyBorder="1" applyAlignment="1">
      <alignment horizontal="center" vertical="center" wrapText="1" readingOrder="1"/>
    </xf>
    <xf numFmtId="0" fontId="5" fillId="7" borderId="4" xfId="1" applyFont="1" applyFill="1" applyBorder="1" applyAlignment="1">
      <alignment horizontal="center" vertical="center" wrapText="1" readingOrder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10" fillId="8" borderId="3" xfId="1" applyFont="1" applyFill="1" applyBorder="1" applyAlignment="1">
      <alignment horizontal="center" vertical="center"/>
    </xf>
    <xf numFmtId="0" fontId="10" fillId="8" borderId="4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 wrapText="1" readingOrder="1"/>
    </xf>
    <xf numFmtId="0" fontId="5" fillId="8" borderId="4" xfId="1" applyFont="1" applyFill="1" applyBorder="1" applyAlignment="1">
      <alignment horizontal="center" vertical="center" wrapText="1" readingOrder="1"/>
    </xf>
    <xf numFmtId="0" fontId="5" fillId="8" borderId="3" xfId="1" applyFont="1" applyFill="1" applyBorder="1" applyAlignment="1">
      <alignment horizontal="left" vertical="center" wrapText="1" readingOrder="1"/>
    </xf>
    <xf numFmtId="0" fontId="5" fillId="8" borderId="4" xfId="1" applyFont="1" applyFill="1" applyBorder="1" applyAlignment="1">
      <alignment horizontal="left" vertical="center" wrapText="1" readingOrder="1"/>
    </xf>
    <xf numFmtId="0" fontId="5" fillId="8" borderId="3" xfId="1" applyFont="1" applyFill="1" applyBorder="1" applyAlignment="1">
      <alignment horizontal="center" vertical="center" wrapText="1"/>
    </xf>
    <xf numFmtId="0" fontId="5" fillId="8" borderId="4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 readingOrder="1"/>
    </xf>
    <xf numFmtId="0" fontId="5" fillId="0" borderId="0" xfId="1" applyFont="1" applyAlignment="1">
      <alignment horizontal="left" vertical="center" wrapText="1" readingOrder="1"/>
    </xf>
    <xf numFmtId="0" fontId="5" fillId="0" borderId="0" xfId="1" applyFont="1" applyAlignment="1">
      <alignment horizontal="center" vertical="center" wrapText="1"/>
    </xf>
    <xf numFmtId="0" fontId="14" fillId="3" borderId="2" xfId="1" applyFont="1" applyFill="1" applyBorder="1" applyAlignment="1">
      <alignment horizontal="center" vertical="center"/>
    </xf>
    <xf numFmtId="0" fontId="14" fillId="3" borderId="3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left" vertical="center" wrapText="1" readingOrder="1"/>
    </xf>
    <xf numFmtId="0" fontId="8" fillId="3" borderId="3" xfId="1" applyFont="1" applyFill="1" applyBorder="1" applyAlignment="1">
      <alignment horizontal="left" vertical="center" wrapText="1" readingOrder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 readingOrder="1"/>
    </xf>
    <xf numFmtId="0" fontId="5" fillId="3" borderId="4" xfId="1" applyFont="1" applyFill="1" applyBorder="1" applyAlignment="1">
      <alignment horizontal="left" vertical="center" wrapText="1" readingOrder="1"/>
    </xf>
    <xf numFmtId="0" fontId="10" fillId="7" borderId="2" xfId="1" applyFont="1" applyFill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left" vertical="center" wrapText="1" readingOrder="1"/>
    </xf>
    <xf numFmtId="0" fontId="5" fillId="7" borderId="4" xfId="1" applyFont="1" applyFill="1" applyBorder="1" applyAlignment="1">
      <alignment horizontal="left" vertical="center" wrapText="1" readingOrder="1"/>
    </xf>
    <xf numFmtId="0" fontId="4" fillId="3" borderId="2" xfId="1" applyFont="1" applyFill="1" applyBorder="1" applyAlignment="1">
      <alignment horizontal="center" vertical="center" wrapText="1" readingOrder="1"/>
    </xf>
    <xf numFmtId="0" fontId="4" fillId="3" borderId="4" xfId="1" applyFont="1" applyFill="1" applyBorder="1" applyAlignment="1">
      <alignment horizontal="center" vertical="center" wrapText="1" readingOrder="1"/>
    </xf>
    <xf numFmtId="0" fontId="4" fillId="3" borderId="2" xfId="1" applyFont="1" applyFill="1" applyBorder="1" applyAlignment="1">
      <alignment horizontal="left" vertical="center" wrapText="1" readingOrder="1"/>
    </xf>
    <xf numFmtId="0" fontId="4" fillId="3" borderId="4" xfId="1" applyFont="1" applyFill="1" applyBorder="1" applyAlignment="1">
      <alignment horizontal="left" vertical="center" wrapText="1" readingOrder="1"/>
    </xf>
    <xf numFmtId="0" fontId="10" fillId="5" borderId="2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left" vertical="center" wrapText="1" readingOrder="1"/>
    </xf>
    <xf numFmtId="0" fontId="5" fillId="5" borderId="4" xfId="1" applyFont="1" applyFill="1" applyBorder="1" applyAlignment="1">
      <alignment horizontal="left" vertical="center" wrapText="1" readingOrder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1" fillId="3" borderId="3" xfId="1" applyFill="1" applyBorder="1" applyAlignment="1">
      <alignment horizontal="left" readingOrder="1"/>
    </xf>
    <xf numFmtId="0" fontId="1" fillId="3" borderId="4" xfId="1" applyFill="1" applyBorder="1" applyAlignment="1">
      <alignment horizontal="left" readingOrder="1"/>
    </xf>
    <xf numFmtId="0" fontId="4" fillId="3" borderId="4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left" vertical="center" wrapText="1" readingOrder="1"/>
    </xf>
    <xf numFmtId="0" fontId="10" fillId="4" borderId="2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 readingOrder="1"/>
    </xf>
    <xf numFmtId="0" fontId="5" fillId="4" borderId="4" xfId="1" applyFont="1" applyFill="1" applyBorder="1" applyAlignment="1">
      <alignment horizontal="center" vertical="center" wrapText="1" readingOrder="1"/>
    </xf>
    <xf numFmtId="0" fontId="4" fillId="4" borderId="2" xfId="1" applyFont="1" applyFill="1" applyBorder="1" applyAlignment="1">
      <alignment horizontal="left" vertical="center" wrapText="1" indent="1" readingOrder="1"/>
    </xf>
    <xf numFmtId="0" fontId="4" fillId="4" borderId="4" xfId="1" applyFont="1" applyFill="1" applyBorder="1" applyAlignment="1">
      <alignment horizontal="left" vertical="center" wrapText="1" indent="1" readingOrder="1"/>
    </xf>
    <xf numFmtId="0" fontId="4" fillId="3" borderId="2" xfId="1" applyFont="1" applyFill="1" applyBorder="1" applyAlignment="1">
      <alignment horizontal="left" vertical="center" wrapText="1" indent="1" readingOrder="1"/>
    </xf>
    <xf numFmtId="0" fontId="4" fillId="3" borderId="4" xfId="1" applyFont="1" applyFill="1" applyBorder="1" applyAlignment="1">
      <alignment horizontal="left" vertical="center" wrapText="1" indent="1" readingOrder="1"/>
    </xf>
    <xf numFmtId="0" fontId="5" fillId="4" borderId="3" xfId="1" applyFont="1" applyFill="1" applyBorder="1" applyAlignment="1">
      <alignment horizontal="center" vertical="center" wrapText="1" readingOrder="1"/>
    </xf>
    <xf numFmtId="0" fontId="10" fillId="4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left" vertical="center" wrapText="1" indent="1" readingOrder="1"/>
    </xf>
    <xf numFmtId="0" fontId="1" fillId="0" borderId="0" xfId="1" applyAlignment="1">
      <alignment horizont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99FF"/>
      <color rgb="FFFF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1"/>
  <sheetViews>
    <sheetView tabSelected="1" topLeftCell="A104" workbookViewId="0">
      <selection activeCell="F32" sqref="F32"/>
    </sheetView>
  </sheetViews>
  <sheetFormatPr baseColWidth="10" defaultColWidth="11.453125" defaultRowHeight="14.5" x14ac:dyDescent="0.35"/>
  <cols>
    <col min="1" max="1" width="8.7265625" style="1" customWidth="1"/>
    <col min="2" max="2" width="21.54296875" style="2" customWidth="1"/>
    <col min="3" max="3" width="24.1796875" style="2" customWidth="1"/>
    <col min="4" max="4" width="18.1796875" style="2" customWidth="1"/>
    <col min="5" max="5" width="31.26953125" style="3" customWidth="1"/>
    <col min="6" max="6" width="18.453125" style="2" customWidth="1"/>
    <col min="7" max="7" width="16" style="1" customWidth="1"/>
    <col min="8" max="16384" width="11.453125" style="1"/>
  </cols>
  <sheetData>
    <row r="1" spans="1:10" ht="79.5" customHeight="1" x14ac:dyDescent="0.35">
      <c r="A1" s="2"/>
      <c r="B1" s="129" t="s">
        <v>102</v>
      </c>
      <c r="C1" s="129"/>
      <c r="D1" s="129"/>
      <c r="E1" s="130"/>
      <c r="F1" s="130"/>
    </row>
    <row r="2" spans="1:10" ht="11.25" customHeight="1" thickBot="1" x14ac:dyDescent="0.4">
      <c r="A2" s="2"/>
    </row>
    <row r="3" spans="1:10" ht="30.75" customHeight="1" thickBot="1" x14ac:dyDescent="0.4">
      <c r="A3" s="2"/>
      <c r="B3" s="4" t="s">
        <v>0</v>
      </c>
      <c r="C3" s="4" t="s">
        <v>99</v>
      </c>
      <c r="D3" s="4" t="s">
        <v>100</v>
      </c>
      <c r="E3" s="5" t="s">
        <v>1</v>
      </c>
      <c r="F3" s="4" t="s">
        <v>2</v>
      </c>
    </row>
    <row r="4" spans="1:10" ht="28.5" customHeight="1" thickBot="1" x14ac:dyDescent="0.4">
      <c r="A4" s="16">
        <v>1</v>
      </c>
      <c r="B4" s="7">
        <v>88100</v>
      </c>
      <c r="C4" s="63">
        <v>23151</v>
      </c>
      <c r="D4" s="7">
        <f>2024-1963</f>
        <v>61</v>
      </c>
      <c r="E4" s="21" t="s">
        <v>101</v>
      </c>
      <c r="F4" s="20" t="s">
        <v>4</v>
      </c>
    </row>
    <row r="5" spans="1:10" ht="27" customHeight="1" thickBot="1" x14ac:dyDescent="0.4">
      <c r="A5" s="16">
        <v>2</v>
      </c>
      <c r="B5" s="7">
        <v>94186</v>
      </c>
      <c r="C5" s="63">
        <v>25023</v>
      </c>
      <c r="D5" s="7">
        <f>2024-1968</f>
        <v>56</v>
      </c>
      <c r="E5" s="21" t="s">
        <v>58</v>
      </c>
      <c r="F5" s="10" t="s">
        <v>4</v>
      </c>
    </row>
    <row r="6" spans="1:10" ht="29.25" customHeight="1" thickBot="1" x14ac:dyDescent="0.4">
      <c r="A6" s="16">
        <v>3</v>
      </c>
      <c r="B6" s="7">
        <v>94192</v>
      </c>
      <c r="C6" s="63">
        <v>25316</v>
      </c>
      <c r="D6" s="7">
        <f>2024-1969</f>
        <v>55</v>
      </c>
      <c r="E6" s="21" t="s">
        <v>59</v>
      </c>
      <c r="F6" s="10" t="s">
        <v>4</v>
      </c>
    </row>
    <row r="7" spans="1:10" ht="30" customHeight="1" thickBot="1" x14ac:dyDescent="0.4">
      <c r="A7" s="16">
        <v>4</v>
      </c>
      <c r="B7" s="20">
        <v>93264</v>
      </c>
      <c r="C7" s="63">
        <v>23761</v>
      </c>
      <c r="D7" s="7">
        <f>2024-1965</f>
        <v>59</v>
      </c>
      <c r="E7" s="22" t="s">
        <v>60</v>
      </c>
      <c r="F7" s="10" t="s">
        <v>4</v>
      </c>
    </row>
    <row r="8" spans="1:10" ht="30.75" customHeight="1" thickBot="1" x14ac:dyDescent="0.4">
      <c r="A8" s="16">
        <v>5</v>
      </c>
      <c r="B8" s="7">
        <v>94195</v>
      </c>
      <c r="C8" s="63">
        <v>24588</v>
      </c>
      <c r="D8" s="7">
        <f>2024-1967</f>
        <v>57</v>
      </c>
      <c r="E8" s="21" t="s">
        <v>61</v>
      </c>
      <c r="F8" s="10" t="s">
        <v>4</v>
      </c>
    </row>
    <row r="9" spans="1:10" ht="30.75" customHeight="1" thickBot="1" x14ac:dyDescent="0.4">
      <c r="A9" s="16">
        <v>6</v>
      </c>
      <c r="B9" s="7">
        <v>94189</v>
      </c>
      <c r="C9" s="63">
        <v>24534</v>
      </c>
      <c r="D9" s="7">
        <f>2024-1967</f>
        <v>57</v>
      </c>
      <c r="E9" s="21" t="s">
        <v>62</v>
      </c>
      <c r="F9" s="10" t="s">
        <v>4</v>
      </c>
    </row>
    <row r="10" spans="1:10" ht="36.75" customHeight="1" thickBot="1" x14ac:dyDescent="0.4">
      <c r="A10" s="16">
        <v>7</v>
      </c>
      <c r="B10" s="7">
        <v>94190</v>
      </c>
      <c r="C10" s="63">
        <v>24281</v>
      </c>
      <c r="D10" s="7">
        <f>2024-1966</f>
        <v>58</v>
      </c>
      <c r="E10" s="21" t="s">
        <v>63</v>
      </c>
      <c r="F10" s="10" t="s">
        <v>4</v>
      </c>
    </row>
    <row r="11" spans="1:10" ht="31.5" customHeight="1" thickBot="1" x14ac:dyDescent="0.4">
      <c r="A11" s="16">
        <v>8</v>
      </c>
      <c r="B11" s="7">
        <v>94188</v>
      </c>
      <c r="C11" s="63">
        <v>25665</v>
      </c>
      <c r="D11" s="7">
        <f>2024-1970</f>
        <v>54</v>
      </c>
      <c r="E11" s="21" t="s">
        <v>64</v>
      </c>
      <c r="F11" s="10" t="s">
        <v>4</v>
      </c>
    </row>
    <row r="12" spans="1:10" ht="29.25" customHeight="1" thickBot="1" x14ac:dyDescent="0.4">
      <c r="A12" s="16">
        <v>9</v>
      </c>
      <c r="B12" s="7">
        <v>93063</v>
      </c>
      <c r="C12" s="63">
        <v>25020</v>
      </c>
      <c r="D12" s="7">
        <f>2024-1968</f>
        <v>56</v>
      </c>
      <c r="E12" s="21" t="s">
        <v>65</v>
      </c>
      <c r="F12" s="10" t="s">
        <v>4</v>
      </c>
    </row>
    <row r="13" spans="1:10" ht="32.25" customHeight="1" thickBot="1" x14ac:dyDescent="0.5">
      <c r="A13" s="16">
        <v>10</v>
      </c>
      <c r="B13" s="7">
        <v>93065</v>
      </c>
      <c r="C13" s="63">
        <v>24383</v>
      </c>
      <c r="D13" s="7">
        <f>2024-1966</f>
        <v>58</v>
      </c>
      <c r="E13" s="21" t="s">
        <v>66</v>
      </c>
      <c r="F13" s="10" t="s">
        <v>4</v>
      </c>
      <c r="H13" s="23"/>
      <c r="I13" s="23"/>
      <c r="J13" s="23"/>
    </row>
    <row r="14" spans="1:10" ht="33" customHeight="1" thickBot="1" x14ac:dyDescent="0.4">
      <c r="A14" s="107">
        <v>11</v>
      </c>
      <c r="B14" s="119">
        <v>14012</v>
      </c>
      <c r="C14" s="63">
        <v>25638</v>
      </c>
      <c r="D14" s="7">
        <f>2024-1970</f>
        <v>54</v>
      </c>
      <c r="E14" s="121" t="s">
        <v>67</v>
      </c>
      <c r="F14" s="10" t="s">
        <v>4</v>
      </c>
    </row>
    <row r="15" spans="1:10" ht="36.75" hidden="1" customHeight="1" thickBot="1" x14ac:dyDescent="0.4">
      <c r="A15" s="108"/>
      <c r="B15" s="120"/>
      <c r="C15" s="63"/>
      <c r="D15" s="7">
        <f t="shared" ref="D15:D54" si="0">2024-1963</f>
        <v>61</v>
      </c>
      <c r="E15" s="122"/>
      <c r="F15" s="10"/>
    </row>
    <row r="16" spans="1:10" ht="28.5" customHeight="1" thickBot="1" x14ac:dyDescent="0.4">
      <c r="A16" s="107">
        <v>12</v>
      </c>
      <c r="B16" s="20">
        <v>12008</v>
      </c>
      <c r="C16" s="63">
        <v>29638</v>
      </c>
      <c r="D16" s="7">
        <f>2024-1981</f>
        <v>43</v>
      </c>
      <c r="E16" s="22" t="s">
        <v>68</v>
      </c>
      <c r="F16" s="10" t="s">
        <v>4</v>
      </c>
    </row>
    <row r="17" spans="1:9" ht="36.75" hidden="1" customHeight="1" thickBot="1" x14ac:dyDescent="0.4">
      <c r="A17" s="108"/>
      <c r="B17" s="24"/>
      <c r="C17" s="63"/>
      <c r="D17" s="7">
        <f t="shared" si="0"/>
        <v>61</v>
      </c>
      <c r="E17" s="25"/>
      <c r="F17" s="10"/>
    </row>
    <row r="18" spans="1:9" ht="29.25" customHeight="1" thickBot="1" x14ac:dyDescent="0.4">
      <c r="A18" s="107">
        <v>13</v>
      </c>
      <c r="B18" s="105">
        <v>12000</v>
      </c>
      <c r="C18" s="63">
        <v>28909</v>
      </c>
      <c r="D18" s="7">
        <f>2024-1979</f>
        <v>45</v>
      </c>
      <c r="E18" s="121" t="s">
        <v>69</v>
      </c>
      <c r="F18" s="10" t="s">
        <v>4</v>
      </c>
    </row>
    <row r="19" spans="1:9" ht="36.75" hidden="1" customHeight="1" thickBot="1" x14ac:dyDescent="0.4">
      <c r="A19" s="131"/>
      <c r="B19" s="132"/>
      <c r="C19" s="63"/>
      <c r="D19" s="7">
        <f t="shared" si="0"/>
        <v>61</v>
      </c>
      <c r="E19" s="134"/>
      <c r="F19" s="10"/>
    </row>
    <row r="20" spans="1:9" ht="36.75" hidden="1" customHeight="1" thickBot="1" x14ac:dyDescent="0.4">
      <c r="A20" s="131"/>
      <c r="B20" s="132"/>
      <c r="C20" s="63"/>
      <c r="D20" s="7">
        <f t="shared" si="0"/>
        <v>61</v>
      </c>
      <c r="E20" s="134"/>
      <c r="F20" s="10"/>
    </row>
    <row r="21" spans="1:9" ht="36.75" hidden="1" customHeight="1" thickBot="1" x14ac:dyDescent="0.4">
      <c r="A21" s="108"/>
      <c r="B21" s="133"/>
      <c r="C21" s="63"/>
      <c r="D21" s="7">
        <f t="shared" si="0"/>
        <v>61</v>
      </c>
      <c r="E21" s="135"/>
      <c r="F21" s="10"/>
    </row>
    <row r="22" spans="1:9" ht="29.25" customHeight="1" thickBot="1" x14ac:dyDescent="0.5">
      <c r="A22" s="107">
        <v>14</v>
      </c>
      <c r="B22" s="105">
        <v>23054</v>
      </c>
      <c r="C22" s="63">
        <v>28087</v>
      </c>
      <c r="D22" s="7">
        <f>2024-1976</f>
        <v>48</v>
      </c>
      <c r="E22" s="121" t="s">
        <v>70</v>
      </c>
      <c r="F22" s="10" t="s">
        <v>4</v>
      </c>
      <c r="G22" s="23"/>
      <c r="H22" s="23"/>
      <c r="I22" s="23"/>
    </row>
    <row r="23" spans="1:9" ht="36.75" hidden="1" customHeight="1" thickBot="1" x14ac:dyDescent="0.5">
      <c r="A23" s="131"/>
      <c r="B23" s="106"/>
      <c r="C23" s="63"/>
      <c r="D23" s="7">
        <f t="shared" si="0"/>
        <v>61</v>
      </c>
      <c r="E23" s="137"/>
      <c r="F23" s="10"/>
      <c r="G23" s="23"/>
      <c r="H23" s="23"/>
      <c r="I23" s="23"/>
    </row>
    <row r="24" spans="1:9" ht="36.75" hidden="1" customHeight="1" thickBot="1" x14ac:dyDescent="0.5">
      <c r="A24" s="108"/>
      <c r="B24" s="136"/>
      <c r="C24" s="63"/>
      <c r="D24" s="7">
        <f t="shared" si="0"/>
        <v>61</v>
      </c>
      <c r="E24" s="122"/>
      <c r="F24" s="10"/>
      <c r="G24" s="23"/>
      <c r="H24" s="23"/>
      <c r="I24" s="23"/>
    </row>
    <row r="25" spans="1:9" ht="25.5" customHeight="1" thickBot="1" x14ac:dyDescent="0.4">
      <c r="A25" s="107">
        <v>15</v>
      </c>
      <c r="B25" s="20">
        <v>29098</v>
      </c>
      <c r="C25" s="63">
        <v>26262</v>
      </c>
      <c r="D25" s="7">
        <f>2024-1971</f>
        <v>53</v>
      </c>
      <c r="E25" s="22" t="s">
        <v>71</v>
      </c>
      <c r="F25" s="10" t="s">
        <v>4</v>
      </c>
    </row>
    <row r="26" spans="1:9" ht="36.75" hidden="1" customHeight="1" thickBot="1" x14ac:dyDescent="0.4">
      <c r="A26" s="108"/>
      <c r="B26" s="24"/>
      <c r="C26" s="63"/>
      <c r="D26" s="7">
        <f t="shared" si="0"/>
        <v>61</v>
      </c>
      <c r="E26" s="25"/>
      <c r="F26" s="10"/>
    </row>
    <row r="27" spans="1:9" ht="24.75" customHeight="1" thickBot="1" x14ac:dyDescent="0.4">
      <c r="A27" s="16">
        <v>16</v>
      </c>
      <c r="B27" s="7">
        <v>23084</v>
      </c>
      <c r="C27" s="63">
        <v>29138</v>
      </c>
      <c r="D27" s="7">
        <f>2024-1979</f>
        <v>45</v>
      </c>
      <c r="E27" s="21" t="s">
        <v>72</v>
      </c>
      <c r="F27" s="10" t="s">
        <v>4</v>
      </c>
    </row>
    <row r="28" spans="1:9" ht="24.75" customHeight="1" thickBot="1" x14ac:dyDescent="0.4">
      <c r="A28" s="16">
        <v>17</v>
      </c>
      <c r="B28" s="7">
        <v>23082</v>
      </c>
      <c r="C28" s="63">
        <v>28559</v>
      </c>
      <c r="D28" s="7">
        <f>2024-1978</f>
        <v>46</v>
      </c>
      <c r="E28" s="21" t="s">
        <v>73</v>
      </c>
      <c r="F28" s="10" t="s">
        <v>4</v>
      </c>
    </row>
    <row r="29" spans="1:9" ht="28.5" customHeight="1" thickBot="1" x14ac:dyDescent="0.5">
      <c r="A29" s="107">
        <v>18</v>
      </c>
      <c r="B29" s="105">
        <v>12010</v>
      </c>
      <c r="C29" s="63">
        <v>30988</v>
      </c>
      <c r="D29" s="7">
        <f>2024-1984</f>
        <v>40</v>
      </c>
      <c r="E29" s="121" t="s">
        <v>74</v>
      </c>
      <c r="F29" s="10" t="s">
        <v>4</v>
      </c>
      <c r="G29" s="23"/>
      <c r="H29" s="23"/>
      <c r="I29" s="23"/>
    </row>
    <row r="30" spans="1:9" ht="36.75" hidden="1" customHeight="1" thickBot="1" x14ac:dyDescent="0.5">
      <c r="A30" s="108"/>
      <c r="B30" s="136"/>
      <c r="C30" s="63"/>
      <c r="D30" s="7">
        <f t="shared" si="0"/>
        <v>61</v>
      </c>
      <c r="E30" s="122"/>
      <c r="F30" s="10"/>
      <c r="G30" s="23"/>
      <c r="H30" s="23"/>
      <c r="I30" s="23"/>
    </row>
    <row r="31" spans="1:9" ht="30.75" customHeight="1" thickBot="1" x14ac:dyDescent="0.4">
      <c r="A31" s="16">
        <v>19</v>
      </c>
      <c r="B31" s="26">
        <v>23100</v>
      </c>
      <c r="C31" s="63">
        <v>28652</v>
      </c>
      <c r="D31" s="7">
        <f>2024-1978</f>
        <v>46</v>
      </c>
      <c r="E31" s="21" t="s">
        <v>75</v>
      </c>
      <c r="F31" s="10" t="s">
        <v>4</v>
      </c>
    </row>
    <row r="32" spans="1:9" ht="30.75" customHeight="1" thickBot="1" x14ac:dyDescent="0.4">
      <c r="A32" s="107">
        <v>20</v>
      </c>
      <c r="B32" s="119">
        <v>12352</v>
      </c>
      <c r="C32" s="63">
        <v>28758</v>
      </c>
      <c r="D32" s="7">
        <f>2024-1978</f>
        <v>46</v>
      </c>
      <c r="E32" s="121" t="s">
        <v>76</v>
      </c>
      <c r="F32" s="10" t="s">
        <v>4</v>
      </c>
    </row>
    <row r="33" spans="1:12" ht="36.75" hidden="1" customHeight="1" thickBot="1" x14ac:dyDescent="0.4">
      <c r="A33" s="108"/>
      <c r="B33" s="120"/>
      <c r="C33" s="63"/>
      <c r="D33" s="7">
        <f t="shared" si="0"/>
        <v>61</v>
      </c>
      <c r="E33" s="122"/>
      <c r="F33" s="51"/>
    </row>
    <row r="34" spans="1:12" ht="27.75" customHeight="1" thickBot="1" x14ac:dyDescent="0.4">
      <c r="A34" s="45">
        <v>21</v>
      </c>
      <c r="B34" s="46">
        <v>99327</v>
      </c>
      <c r="C34" s="68">
        <v>24565</v>
      </c>
      <c r="D34" s="69">
        <f>2024-1967</f>
        <v>57</v>
      </c>
      <c r="E34" s="47" t="s">
        <v>77</v>
      </c>
      <c r="F34" s="69" t="s">
        <v>10</v>
      </c>
      <c r="G34" s="28"/>
      <c r="H34" s="9"/>
      <c r="I34" s="9"/>
    </row>
    <row r="35" spans="1:12" ht="25.5" customHeight="1" thickBot="1" x14ac:dyDescent="0.4">
      <c r="A35" s="45">
        <v>22</v>
      </c>
      <c r="B35" s="46">
        <v>99328</v>
      </c>
      <c r="C35" s="68">
        <v>27354</v>
      </c>
      <c r="D35" s="69">
        <f>2024-1974</f>
        <v>50</v>
      </c>
      <c r="E35" s="47" t="s">
        <v>78</v>
      </c>
      <c r="F35" s="69" t="s">
        <v>10</v>
      </c>
      <c r="G35" s="28"/>
      <c r="H35" s="9"/>
    </row>
    <row r="36" spans="1:12" ht="30" customHeight="1" thickBot="1" x14ac:dyDescent="0.4">
      <c r="A36" s="45">
        <v>23</v>
      </c>
      <c r="B36" s="46">
        <v>90029</v>
      </c>
      <c r="C36" s="68">
        <v>23826</v>
      </c>
      <c r="D36" s="69">
        <f>2024-1965</f>
        <v>59</v>
      </c>
      <c r="E36" s="47" t="s">
        <v>79</v>
      </c>
      <c r="F36" s="69" t="s">
        <v>10</v>
      </c>
      <c r="G36" s="9"/>
      <c r="H36" s="9"/>
    </row>
    <row r="37" spans="1:12" ht="30.75" customHeight="1" thickBot="1" x14ac:dyDescent="0.4">
      <c r="A37" s="45">
        <v>24</v>
      </c>
      <c r="B37" s="46">
        <v>96092</v>
      </c>
      <c r="C37" s="68">
        <v>24704</v>
      </c>
      <c r="D37" s="69">
        <f>2024-1967</f>
        <v>57</v>
      </c>
      <c r="E37" s="47" t="s">
        <v>80</v>
      </c>
      <c r="F37" s="69" t="s">
        <v>10</v>
      </c>
      <c r="G37" s="28"/>
    </row>
    <row r="38" spans="1:12" ht="30" customHeight="1" thickBot="1" x14ac:dyDescent="0.4">
      <c r="A38" s="45">
        <v>25</v>
      </c>
      <c r="B38" s="46">
        <v>98076</v>
      </c>
      <c r="C38" s="68">
        <v>25952</v>
      </c>
      <c r="D38" s="69">
        <f>2024-1971</f>
        <v>53</v>
      </c>
      <c r="E38" s="47" t="s">
        <v>81</v>
      </c>
      <c r="F38" s="69" t="s">
        <v>10</v>
      </c>
      <c r="G38" s="28"/>
    </row>
    <row r="39" spans="1:12" ht="32.25" customHeight="1" thickBot="1" x14ac:dyDescent="0.4">
      <c r="A39" s="123">
        <v>26</v>
      </c>
      <c r="B39" s="125">
        <v>23090</v>
      </c>
      <c r="C39" s="70">
        <v>26799</v>
      </c>
      <c r="D39" s="71">
        <f>2024-1973</f>
        <v>51</v>
      </c>
      <c r="E39" s="127" t="s">
        <v>82</v>
      </c>
      <c r="F39" s="74" t="s">
        <v>13</v>
      </c>
      <c r="G39" s="28"/>
    </row>
    <row r="40" spans="1:12" ht="36.75" hidden="1" customHeight="1" thickBot="1" x14ac:dyDescent="0.4">
      <c r="A40" s="124"/>
      <c r="B40" s="126"/>
      <c r="C40" s="70"/>
      <c r="D40" s="71">
        <f t="shared" si="0"/>
        <v>61</v>
      </c>
      <c r="E40" s="128"/>
      <c r="F40" s="74"/>
      <c r="G40" s="9"/>
      <c r="H40" s="9"/>
      <c r="I40" s="9"/>
      <c r="J40" s="9"/>
      <c r="K40" s="9"/>
      <c r="L40" s="9"/>
    </row>
    <row r="41" spans="1:12" ht="32.25" customHeight="1" thickBot="1" x14ac:dyDescent="0.4">
      <c r="A41" s="123">
        <v>27</v>
      </c>
      <c r="B41" s="125">
        <v>12158</v>
      </c>
      <c r="C41" s="70">
        <v>32158</v>
      </c>
      <c r="D41" s="71">
        <f>2024-1988</f>
        <v>36</v>
      </c>
      <c r="E41" s="127" t="s">
        <v>83</v>
      </c>
      <c r="F41" s="74" t="s">
        <v>13</v>
      </c>
    </row>
    <row r="42" spans="1:12" ht="36.75" hidden="1" customHeight="1" thickBot="1" x14ac:dyDescent="0.4">
      <c r="A42" s="124"/>
      <c r="B42" s="126"/>
      <c r="C42" s="70"/>
      <c r="D42" s="71">
        <f t="shared" si="0"/>
        <v>61</v>
      </c>
      <c r="E42" s="128"/>
      <c r="F42" s="74"/>
    </row>
    <row r="43" spans="1:12" ht="29.25" customHeight="1" thickBot="1" x14ac:dyDescent="0.4">
      <c r="A43" s="43">
        <v>28</v>
      </c>
      <c r="B43" s="42">
        <v>22074</v>
      </c>
      <c r="C43" s="70">
        <v>26605</v>
      </c>
      <c r="D43" s="71">
        <f>2024-1972</f>
        <v>52</v>
      </c>
      <c r="E43" s="44" t="s">
        <v>84</v>
      </c>
      <c r="F43" s="75" t="s">
        <v>13</v>
      </c>
    </row>
    <row r="44" spans="1:12" ht="28.5" customHeight="1" thickBot="1" x14ac:dyDescent="0.4">
      <c r="A44" s="113">
        <v>29</v>
      </c>
      <c r="B44" s="115">
        <v>20061</v>
      </c>
      <c r="C44" s="72">
        <v>28194</v>
      </c>
      <c r="D44" s="73">
        <f>2024-1977</f>
        <v>47</v>
      </c>
      <c r="E44" s="117" t="s">
        <v>85</v>
      </c>
      <c r="F44" s="76" t="s">
        <v>16</v>
      </c>
      <c r="G44" s="9"/>
      <c r="H44" s="9"/>
      <c r="I44" s="9"/>
    </row>
    <row r="45" spans="1:12" ht="36.75" hidden="1" customHeight="1" thickBot="1" x14ac:dyDescent="0.4">
      <c r="A45" s="114"/>
      <c r="B45" s="116"/>
      <c r="C45" s="72"/>
      <c r="D45" s="73">
        <f t="shared" si="0"/>
        <v>61</v>
      </c>
      <c r="E45" s="118"/>
      <c r="F45" s="77"/>
      <c r="G45" s="9"/>
      <c r="H45" s="9"/>
      <c r="I45" s="9"/>
      <c r="J45" s="9"/>
    </row>
    <row r="46" spans="1:12" ht="33.75" customHeight="1" thickBot="1" x14ac:dyDescent="0.4">
      <c r="A46" s="113">
        <v>30</v>
      </c>
      <c r="B46" s="115">
        <v>12103</v>
      </c>
      <c r="C46" s="72">
        <v>30100</v>
      </c>
      <c r="D46" s="73">
        <f>2024-1982</f>
        <v>42</v>
      </c>
      <c r="E46" s="117" t="s">
        <v>86</v>
      </c>
      <c r="F46" s="77" t="s">
        <v>16</v>
      </c>
    </row>
    <row r="47" spans="1:12" ht="36.75" hidden="1" customHeight="1" thickBot="1" x14ac:dyDescent="0.4">
      <c r="A47" s="114"/>
      <c r="B47" s="116"/>
      <c r="C47" s="63"/>
      <c r="D47" s="7">
        <f t="shared" si="0"/>
        <v>61</v>
      </c>
      <c r="E47" s="118"/>
      <c r="F47" s="78"/>
    </row>
    <row r="48" spans="1:12" ht="30.75" customHeight="1" thickBot="1" x14ac:dyDescent="0.4">
      <c r="A48" s="99">
        <v>31</v>
      </c>
      <c r="B48" s="101">
        <v>23086</v>
      </c>
      <c r="C48" s="63">
        <v>28727</v>
      </c>
      <c r="D48" s="7">
        <f>2024-1978</f>
        <v>46</v>
      </c>
      <c r="E48" s="103" t="s">
        <v>87</v>
      </c>
      <c r="F48" s="101" t="s">
        <v>88</v>
      </c>
      <c r="G48" s="28"/>
      <c r="H48" s="9"/>
      <c r="I48" s="9"/>
    </row>
    <row r="49" spans="1:11" ht="36.75" hidden="1" customHeight="1" thickBot="1" x14ac:dyDescent="0.4">
      <c r="A49" s="100"/>
      <c r="B49" s="102"/>
      <c r="C49" s="63"/>
      <c r="D49" s="7">
        <f t="shared" si="0"/>
        <v>61</v>
      </c>
      <c r="E49" s="104"/>
      <c r="F49" s="102"/>
      <c r="G49" s="9"/>
      <c r="H49" s="9"/>
      <c r="I49" s="9"/>
    </row>
    <row r="50" spans="1:11" ht="26.25" customHeight="1" thickBot="1" x14ac:dyDescent="0.4">
      <c r="A50" s="16">
        <v>32</v>
      </c>
      <c r="B50" s="8">
        <v>99330</v>
      </c>
      <c r="C50" s="63">
        <v>27057</v>
      </c>
      <c r="D50" s="7">
        <f>2024-1974</f>
        <v>50</v>
      </c>
      <c r="E50" s="27" t="s">
        <v>89</v>
      </c>
      <c r="F50" s="20" t="s">
        <v>18</v>
      </c>
    </row>
    <row r="51" spans="1:11" ht="30" customHeight="1" thickBot="1" x14ac:dyDescent="0.4">
      <c r="A51" s="19">
        <v>33</v>
      </c>
      <c r="B51" s="13">
        <v>94266</v>
      </c>
      <c r="C51" s="63">
        <v>26125</v>
      </c>
      <c r="D51" s="7">
        <f>2024-1971</f>
        <v>53</v>
      </c>
      <c r="E51" s="29" t="s">
        <v>90</v>
      </c>
      <c r="F51" s="10" t="s">
        <v>18</v>
      </c>
    </row>
    <row r="52" spans="1:11" ht="32.25" customHeight="1" thickBot="1" x14ac:dyDescent="0.4">
      <c r="A52" s="16">
        <v>34</v>
      </c>
      <c r="B52" s="8">
        <v>20059</v>
      </c>
      <c r="C52" s="63">
        <v>28046</v>
      </c>
      <c r="D52" s="7">
        <f>2024-1976</f>
        <v>48</v>
      </c>
      <c r="E52" s="27" t="s">
        <v>91</v>
      </c>
      <c r="F52" s="10" t="s">
        <v>18</v>
      </c>
    </row>
    <row r="53" spans="1:11" ht="30" customHeight="1" thickBot="1" x14ac:dyDescent="0.4">
      <c r="A53" s="107">
        <v>35</v>
      </c>
      <c r="B53" s="109">
        <v>92055</v>
      </c>
      <c r="C53" s="63">
        <v>23941</v>
      </c>
      <c r="D53" s="7">
        <f>2024-1965</f>
        <v>59</v>
      </c>
      <c r="E53" s="111" t="s">
        <v>92</v>
      </c>
      <c r="F53" s="10" t="s">
        <v>18</v>
      </c>
      <c r="G53" s="9"/>
      <c r="H53" s="9"/>
      <c r="I53" s="9"/>
      <c r="J53" s="9"/>
      <c r="K53" s="9"/>
    </row>
    <row r="54" spans="1:11" ht="50.25" hidden="1" customHeight="1" thickBot="1" x14ac:dyDescent="0.4">
      <c r="A54" s="108"/>
      <c r="B54" s="110"/>
      <c r="C54" s="63"/>
      <c r="D54" s="7">
        <f t="shared" si="0"/>
        <v>61</v>
      </c>
      <c r="E54" s="112"/>
      <c r="F54" s="10"/>
    </row>
    <row r="55" spans="1:11" ht="32.25" customHeight="1" thickBot="1" x14ac:dyDescent="0.4">
      <c r="A55" s="16">
        <v>36</v>
      </c>
      <c r="B55" s="8">
        <v>95150</v>
      </c>
      <c r="C55" s="63">
        <v>24725</v>
      </c>
      <c r="D55" s="7">
        <f>2024-1967</f>
        <v>57</v>
      </c>
      <c r="E55" s="27" t="s">
        <v>93</v>
      </c>
      <c r="F55" s="10" t="s">
        <v>18</v>
      </c>
    </row>
    <row r="56" spans="1:11" ht="31.5" customHeight="1" thickBot="1" x14ac:dyDescent="0.4">
      <c r="A56" s="16">
        <v>37</v>
      </c>
      <c r="B56" s="8">
        <v>94267</v>
      </c>
      <c r="C56" s="63">
        <v>25939</v>
      </c>
      <c r="D56" s="7">
        <f>2024-1971</f>
        <v>53</v>
      </c>
      <c r="E56" s="27" t="s">
        <v>94</v>
      </c>
      <c r="F56" s="10" t="s">
        <v>18</v>
      </c>
      <c r="G56" s="86"/>
      <c r="H56" s="86"/>
      <c r="I56" s="86"/>
      <c r="J56" s="86"/>
    </row>
    <row r="57" spans="1:11" ht="26.25" customHeight="1" thickBot="1" x14ac:dyDescent="0.4">
      <c r="A57" s="16">
        <v>38</v>
      </c>
      <c r="B57" s="8">
        <v>99252</v>
      </c>
      <c r="C57" s="63">
        <v>28355</v>
      </c>
      <c r="D57" s="7">
        <f>2024-1977</f>
        <v>47</v>
      </c>
      <c r="E57" s="27" t="s">
        <v>95</v>
      </c>
      <c r="F57" s="10" t="s">
        <v>18</v>
      </c>
    </row>
    <row r="58" spans="1:11" ht="26.25" customHeight="1" thickBot="1" x14ac:dyDescent="0.4">
      <c r="A58" s="19">
        <v>39</v>
      </c>
      <c r="B58" s="30">
        <v>23089</v>
      </c>
      <c r="C58" s="63">
        <v>28786</v>
      </c>
      <c r="D58" s="7">
        <f>2024-1978</f>
        <v>46</v>
      </c>
      <c r="E58" s="31" t="s">
        <v>96</v>
      </c>
      <c r="F58" s="24" t="s">
        <v>18</v>
      </c>
    </row>
    <row r="59" spans="1:11" ht="26.25" customHeight="1" thickBot="1" x14ac:dyDescent="0.4">
      <c r="A59" s="52">
        <v>40</v>
      </c>
      <c r="B59" s="53">
        <v>94247</v>
      </c>
      <c r="C59" s="64">
        <v>25981</v>
      </c>
      <c r="D59" s="55">
        <f>2024-1971</f>
        <v>53</v>
      </c>
      <c r="E59" s="54" t="s">
        <v>97</v>
      </c>
      <c r="F59" s="55" t="s">
        <v>21</v>
      </c>
    </row>
    <row r="60" spans="1:11" ht="26.25" customHeight="1" x14ac:dyDescent="0.35">
      <c r="A60" s="56"/>
      <c r="B60" s="57"/>
      <c r="C60" s="57"/>
      <c r="D60" s="57"/>
      <c r="E60" s="58"/>
      <c r="F60" s="59"/>
    </row>
    <row r="61" spans="1:11" ht="26.25" customHeight="1" x14ac:dyDescent="0.35">
      <c r="A61" s="95"/>
      <c r="B61" s="96"/>
      <c r="C61" s="62"/>
      <c r="D61" s="62"/>
      <c r="E61" s="97"/>
      <c r="F61" s="98"/>
    </row>
    <row r="62" spans="1:11" ht="26.25" customHeight="1" x14ac:dyDescent="0.35">
      <c r="A62" s="95"/>
      <c r="B62" s="96"/>
      <c r="C62" s="62"/>
      <c r="D62" s="62"/>
      <c r="E62" s="97"/>
      <c r="F62" s="98"/>
    </row>
    <row r="63" spans="1:11" ht="20.25" customHeight="1" x14ac:dyDescent="0.35">
      <c r="A63" s="95"/>
      <c r="B63" s="96"/>
      <c r="C63" s="62"/>
      <c r="D63" s="62"/>
      <c r="E63" s="97"/>
      <c r="F63" s="98"/>
    </row>
    <row r="64" spans="1:11" ht="26.25" hidden="1" customHeight="1" x14ac:dyDescent="0.35">
      <c r="A64" s="95"/>
      <c r="B64" s="96"/>
      <c r="C64" s="62"/>
      <c r="D64" s="62"/>
      <c r="E64" s="97"/>
      <c r="F64" s="98"/>
    </row>
    <row r="65" spans="1:9" ht="46.5" hidden="1" customHeight="1" x14ac:dyDescent="0.35">
      <c r="A65" s="95"/>
      <c r="B65" s="96"/>
      <c r="C65" s="62"/>
      <c r="D65" s="62"/>
      <c r="E65" s="97"/>
      <c r="F65" s="98"/>
    </row>
    <row r="66" spans="1:9" ht="26.25" hidden="1" customHeight="1" thickBot="1" x14ac:dyDescent="0.4">
      <c r="A66" s="95"/>
      <c r="B66" s="96"/>
      <c r="C66" s="62"/>
      <c r="D66" s="62"/>
      <c r="E66" s="97"/>
      <c r="F66" s="98"/>
    </row>
    <row r="67" spans="1:9" ht="26.25" hidden="1" customHeight="1" thickBot="1" x14ac:dyDescent="0.4">
      <c r="A67" s="95"/>
      <c r="B67" s="96"/>
      <c r="C67" s="62"/>
      <c r="D67" s="62"/>
      <c r="E67" s="97"/>
      <c r="F67" s="98"/>
    </row>
    <row r="68" spans="1:9" ht="36.75" hidden="1" customHeight="1" x14ac:dyDescent="0.35">
      <c r="A68" s="87"/>
      <c r="B68" s="89"/>
      <c r="C68" s="60"/>
      <c r="D68" s="60"/>
      <c r="E68" s="91"/>
      <c r="F68" s="93"/>
    </row>
    <row r="69" spans="1:9" ht="36.75" hidden="1" customHeight="1" x14ac:dyDescent="0.35">
      <c r="A69" s="87"/>
      <c r="B69" s="89"/>
      <c r="C69" s="60"/>
      <c r="D69" s="60"/>
      <c r="E69" s="91"/>
      <c r="F69" s="93"/>
      <c r="G69" s="9"/>
      <c r="H69" s="9"/>
      <c r="I69" s="9"/>
    </row>
    <row r="70" spans="1:9" ht="36.75" hidden="1" customHeight="1" thickBot="1" x14ac:dyDescent="0.4">
      <c r="A70" s="88"/>
      <c r="B70" s="90"/>
      <c r="C70" s="61"/>
      <c r="D70" s="61"/>
      <c r="E70" s="92"/>
      <c r="F70" s="94"/>
    </row>
    <row r="71" spans="1:9" ht="33.75" customHeight="1" x14ac:dyDescent="0.35"/>
  </sheetData>
  <mergeCells count="46">
    <mergeCell ref="B1:F1"/>
    <mergeCell ref="A14:A15"/>
    <mergeCell ref="B14:B15"/>
    <mergeCell ref="E14:E15"/>
    <mergeCell ref="A16:A17"/>
    <mergeCell ref="A18:A21"/>
    <mergeCell ref="B18:B21"/>
    <mergeCell ref="E18:E21"/>
    <mergeCell ref="A22:A24"/>
    <mergeCell ref="B22:B24"/>
    <mergeCell ref="E22:E24"/>
    <mergeCell ref="A25:A26"/>
    <mergeCell ref="A29:A30"/>
    <mergeCell ref="B29:B30"/>
    <mergeCell ref="E29:E30"/>
    <mergeCell ref="A32:A33"/>
    <mergeCell ref="B32:B33"/>
    <mergeCell ref="E32:E33"/>
    <mergeCell ref="A39:A40"/>
    <mergeCell ref="B39:B40"/>
    <mergeCell ref="E39:E40"/>
    <mergeCell ref="A41:A42"/>
    <mergeCell ref="B41:B42"/>
    <mergeCell ref="E41:E42"/>
    <mergeCell ref="A44:A45"/>
    <mergeCell ref="B44:B45"/>
    <mergeCell ref="E44:E45"/>
    <mergeCell ref="A46:A47"/>
    <mergeCell ref="B46:B47"/>
    <mergeCell ref="E46:E47"/>
    <mergeCell ref="A48:A49"/>
    <mergeCell ref="B48:B49"/>
    <mergeCell ref="E48:E49"/>
    <mergeCell ref="F48:F49"/>
    <mergeCell ref="A53:A54"/>
    <mergeCell ref="B53:B54"/>
    <mergeCell ref="E53:E54"/>
    <mergeCell ref="G56:J56"/>
    <mergeCell ref="A68:A70"/>
    <mergeCell ref="B68:B70"/>
    <mergeCell ref="E68:E70"/>
    <mergeCell ref="F68:F70"/>
    <mergeCell ref="A61:A67"/>
    <mergeCell ref="B61:B67"/>
    <mergeCell ref="E61:E67"/>
    <mergeCell ref="F61:F67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63" fitToHeight="0" orientation="portrait" r:id="rId1"/>
  <headerFooter>
    <oddFooter>Page &amp;P de &amp;N</oddFooter>
  </headerFooter>
  <rowBreaks count="1" manualBreakCount="1">
    <brk id="3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7"/>
  <sheetViews>
    <sheetView topLeftCell="A35" workbookViewId="0">
      <selection activeCell="G43" sqref="G43"/>
    </sheetView>
  </sheetViews>
  <sheetFormatPr baseColWidth="10" defaultColWidth="11.453125" defaultRowHeight="14.5" x14ac:dyDescent="0.35"/>
  <cols>
    <col min="1" max="1" width="7.453125" style="1" customWidth="1"/>
    <col min="2" max="2" width="21.54296875" style="2" customWidth="1"/>
    <col min="3" max="3" width="23.7265625" style="2" customWidth="1"/>
    <col min="4" max="4" width="17.81640625" style="2" customWidth="1"/>
    <col min="5" max="5" width="27.54296875" style="3" customWidth="1"/>
    <col min="6" max="6" width="20" style="2" customWidth="1"/>
    <col min="7" max="7" width="16" style="1" customWidth="1"/>
    <col min="8" max="16384" width="11.453125" style="1"/>
  </cols>
  <sheetData>
    <row r="1" spans="1:12" ht="78.75" customHeight="1" x14ac:dyDescent="0.35">
      <c r="B1" s="129" t="s">
        <v>103</v>
      </c>
      <c r="C1" s="129"/>
      <c r="D1" s="129"/>
      <c r="E1" s="129"/>
      <c r="F1" s="129"/>
    </row>
    <row r="2" spans="1:12" ht="11.25" customHeight="1" thickBot="1" x14ac:dyDescent="0.4"/>
    <row r="3" spans="1:12" ht="27.75" customHeight="1" thickBot="1" x14ac:dyDescent="0.4">
      <c r="B3" s="4" t="s">
        <v>0</v>
      </c>
      <c r="C3" s="4" t="s">
        <v>99</v>
      </c>
      <c r="D3" s="4" t="s">
        <v>100</v>
      </c>
      <c r="E3" s="5" t="s">
        <v>1</v>
      </c>
      <c r="F3" s="4" t="s">
        <v>2</v>
      </c>
    </row>
    <row r="4" spans="1:12" ht="38.25" customHeight="1" thickBot="1" x14ac:dyDescent="0.4">
      <c r="A4" s="16">
        <v>1</v>
      </c>
      <c r="B4" s="7">
        <v>90049</v>
      </c>
      <c r="C4" s="63">
        <v>23824</v>
      </c>
      <c r="D4" s="7">
        <f>2024-1965</f>
        <v>59</v>
      </c>
      <c r="E4" s="17" t="s">
        <v>23</v>
      </c>
      <c r="F4" s="20" t="s">
        <v>4</v>
      </c>
    </row>
    <row r="5" spans="1:12" ht="37.5" customHeight="1" thickBot="1" x14ac:dyDescent="0.4">
      <c r="A5" s="16">
        <v>2</v>
      </c>
      <c r="B5" s="7">
        <v>93062</v>
      </c>
      <c r="C5" s="63">
        <v>25193</v>
      </c>
      <c r="D5" s="7">
        <f>2024-1968</f>
        <v>56</v>
      </c>
      <c r="E5" s="17" t="s">
        <v>24</v>
      </c>
      <c r="F5" s="20" t="s">
        <v>4</v>
      </c>
      <c r="H5" s="18"/>
      <c r="I5" s="18"/>
      <c r="J5" s="18"/>
      <c r="K5" s="18"/>
      <c r="L5" s="18"/>
    </row>
    <row r="6" spans="1:12" ht="36.75" customHeight="1" thickBot="1" x14ac:dyDescent="0.4">
      <c r="A6" s="19">
        <v>3</v>
      </c>
      <c r="B6" s="20">
        <v>97095</v>
      </c>
      <c r="C6" s="63">
        <v>25254</v>
      </c>
      <c r="D6" s="7">
        <f>2024-1969</f>
        <v>55</v>
      </c>
      <c r="E6" s="17" t="s">
        <v>25</v>
      </c>
      <c r="F6" s="20" t="s">
        <v>4</v>
      </c>
      <c r="G6" s="9"/>
      <c r="H6" s="9"/>
      <c r="I6" s="9"/>
      <c r="J6" s="9"/>
    </row>
    <row r="7" spans="1:12" ht="32.25" customHeight="1" thickBot="1" x14ac:dyDescent="0.4">
      <c r="A7" s="16">
        <v>4</v>
      </c>
      <c r="B7" s="7">
        <v>98077</v>
      </c>
      <c r="C7" s="63">
        <v>26672</v>
      </c>
      <c r="D7" s="7">
        <f>2024-1973</f>
        <v>51</v>
      </c>
      <c r="E7" s="17" t="s">
        <v>26</v>
      </c>
      <c r="F7" s="20" t="s">
        <v>4</v>
      </c>
    </row>
    <row r="8" spans="1:12" ht="36.75" customHeight="1" thickBot="1" x14ac:dyDescent="0.4">
      <c r="A8" s="107">
        <v>5</v>
      </c>
      <c r="B8" s="105">
        <v>98080</v>
      </c>
      <c r="C8" s="63">
        <v>24898</v>
      </c>
      <c r="D8" s="7">
        <f>2024-1968</f>
        <v>56</v>
      </c>
      <c r="E8" s="144" t="s">
        <v>27</v>
      </c>
      <c r="F8" s="20" t="s">
        <v>4</v>
      </c>
    </row>
    <row r="9" spans="1:12" ht="0.75" customHeight="1" thickBot="1" x14ac:dyDescent="0.4">
      <c r="A9" s="108"/>
      <c r="B9" s="136"/>
      <c r="C9" s="63"/>
      <c r="D9" s="7">
        <f t="shared" ref="D9:D44" si="0">2024-1965</f>
        <v>59</v>
      </c>
      <c r="E9" s="145"/>
      <c r="F9" s="10"/>
    </row>
    <row r="10" spans="1:12" ht="34.5" customHeight="1" thickBot="1" x14ac:dyDescent="0.4">
      <c r="A10" s="16">
        <v>6</v>
      </c>
      <c r="B10" s="7">
        <v>99275</v>
      </c>
      <c r="C10" s="63">
        <v>27524</v>
      </c>
      <c r="D10" s="7">
        <f>2024-1975</f>
        <v>49</v>
      </c>
      <c r="E10" s="17" t="s">
        <v>28</v>
      </c>
      <c r="F10" s="20" t="s">
        <v>4</v>
      </c>
    </row>
    <row r="11" spans="1:12" ht="41.25" customHeight="1" thickBot="1" x14ac:dyDescent="0.4">
      <c r="A11" s="16">
        <v>7</v>
      </c>
      <c r="B11" s="7">
        <v>99338</v>
      </c>
      <c r="C11" s="63">
        <v>28733</v>
      </c>
      <c r="D11" s="7">
        <f>2024-1978</f>
        <v>46</v>
      </c>
      <c r="E11" s="17" t="s">
        <v>29</v>
      </c>
      <c r="F11" s="20" t="s">
        <v>4</v>
      </c>
    </row>
    <row r="12" spans="1:12" ht="37.5" customHeight="1" thickBot="1" x14ac:dyDescent="0.4">
      <c r="A12" s="16">
        <v>8</v>
      </c>
      <c r="B12" s="7">
        <v>99341</v>
      </c>
      <c r="C12" s="63">
        <v>27899</v>
      </c>
      <c r="D12" s="7">
        <f>2024-1976</f>
        <v>48</v>
      </c>
      <c r="E12" s="17" t="s">
        <v>30</v>
      </c>
      <c r="F12" s="20" t="s">
        <v>4</v>
      </c>
    </row>
    <row r="13" spans="1:12" ht="37.5" customHeight="1" thickBot="1" x14ac:dyDescent="0.4">
      <c r="A13" s="16">
        <v>9</v>
      </c>
      <c r="B13" s="7">
        <v>21076</v>
      </c>
      <c r="C13" s="63">
        <v>27705</v>
      </c>
      <c r="D13" s="7">
        <f>2024-1975</f>
        <v>49</v>
      </c>
      <c r="E13" s="17" t="s">
        <v>31</v>
      </c>
      <c r="F13" s="20" t="s">
        <v>4</v>
      </c>
    </row>
    <row r="14" spans="1:12" ht="35.25" customHeight="1" thickBot="1" x14ac:dyDescent="0.4">
      <c r="A14" s="16">
        <v>10</v>
      </c>
      <c r="B14" s="7">
        <v>21077</v>
      </c>
      <c r="C14" s="63">
        <v>28993</v>
      </c>
      <c r="D14" s="7">
        <f>2024-1979</f>
        <v>45</v>
      </c>
      <c r="E14" s="17" t="s">
        <v>32</v>
      </c>
      <c r="F14" s="20" t="s">
        <v>4</v>
      </c>
    </row>
    <row r="15" spans="1:12" ht="36" customHeight="1" thickBot="1" x14ac:dyDescent="0.4">
      <c r="A15" s="16">
        <v>11</v>
      </c>
      <c r="B15" s="7">
        <v>28074</v>
      </c>
      <c r="C15" s="63">
        <v>28717</v>
      </c>
      <c r="D15" s="7">
        <f>2024-1978</f>
        <v>46</v>
      </c>
      <c r="E15" s="17" t="s">
        <v>33</v>
      </c>
      <c r="F15" s="20" t="s">
        <v>4</v>
      </c>
    </row>
    <row r="16" spans="1:12" ht="37.5" customHeight="1" thickBot="1" x14ac:dyDescent="0.4">
      <c r="A16" s="16">
        <v>12</v>
      </c>
      <c r="B16" s="7">
        <v>10009</v>
      </c>
      <c r="C16" s="63">
        <v>30653</v>
      </c>
      <c r="D16" s="7">
        <f>2024-1983</f>
        <v>41</v>
      </c>
      <c r="E16" s="17" t="s">
        <v>34</v>
      </c>
      <c r="F16" s="20" t="s">
        <v>4</v>
      </c>
    </row>
    <row r="17" spans="1:10" ht="36" customHeight="1" thickBot="1" x14ac:dyDescent="0.4">
      <c r="A17" s="16">
        <v>13</v>
      </c>
      <c r="B17" s="7">
        <v>12016</v>
      </c>
      <c r="C17" s="63">
        <v>32673</v>
      </c>
      <c r="D17" s="7">
        <f>2024-1989</f>
        <v>35</v>
      </c>
      <c r="E17" s="17" t="s">
        <v>35</v>
      </c>
      <c r="F17" s="20" t="s">
        <v>4</v>
      </c>
    </row>
    <row r="18" spans="1:10" ht="35.25" customHeight="1" thickBot="1" x14ac:dyDescent="0.4">
      <c r="A18" s="16">
        <v>14</v>
      </c>
      <c r="B18" s="26">
        <v>12030</v>
      </c>
      <c r="C18" s="63">
        <v>24187</v>
      </c>
      <c r="D18" s="7">
        <f>2024-1966</f>
        <v>58</v>
      </c>
      <c r="E18" s="17" t="s">
        <v>36</v>
      </c>
      <c r="F18" s="20" t="s">
        <v>4</v>
      </c>
    </row>
    <row r="19" spans="1:10" ht="36" customHeight="1" thickBot="1" x14ac:dyDescent="0.4">
      <c r="A19" s="16">
        <v>15</v>
      </c>
      <c r="B19" s="7">
        <v>12042</v>
      </c>
      <c r="C19" s="63">
        <v>29698</v>
      </c>
      <c r="D19" s="7">
        <f>2024-1981</f>
        <v>43</v>
      </c>
      <c r="E19" s="17" t="s">
        <v>37</v>
      </c>
      <c r="F19" s="20" t="s">
        <v>4</v>
      </c>
    </row>
    <row r="20" spans="1:10" ht="39" customHeight="1" thickBot="1" x14ac:dyDescent="0.4">
      <c r="A20" s="16">
        <v>16</v>
      </c>
      <c r="B20" s="7">
        <v>12343</v>
      </c>
      <c r="C20" s="63">
        <v>29343</v>
      </c>
      <c r="D20" s="7">
        <f>2024-1980</f>
        <v>44</v>
      </c>
      <c r="E20" s="17" t="s">
        <v>38</v>
      </c>
      <c r="F20" s="20" t="s">
        <v>4</v>
      </c>
    </row>
    <row r="21" spans="1:10" ht="33.75" customHeight="1" thickBot="1" x14ac:dyDescent="0.4">
      <c r="A21" s="16">
        <v>17</v>
      </c>
      <c r="B21" s="32">
        <v>12344</v>
      </c>
      <c r="C21" s="63">
        <v>30894</v>
      </c>
      <c r="D21" s="7">
        <f>2024-1984</f>
        <v>40</v>
      </c>
      <c r="E21" s="17" t="s">
        <v>39</v>
      </c>
      <c r="F21" s="20" t="s">
        <v>4</v>
      </c>
    </row>
    <row r="22" spans="1:10" ht="27" customHeight="1" thickBot="1" x14ac:dyDescent="0.4">
      <c r="A22" s="16">
        <v>18</v>
      </c>
      <c r="B22" s="32">
        <v>94080</v>
      </c>
      <c r="C22" s="63">
        <v>25383</v>
      </c>
      <c r="D22" s="7">
        <f>2024-1969</f>
        <v>55</v>
      </c>
      <c r="E22" s="17" t="s">
        <v>40</v>
      </c>
      <c r="F22" s="20" t="s">
        <v>4</v>
      </c>
    </row>
    <row r="23" spans="1:10" ht="37.5" customHeight="1" thickBot="1" x14ac:dyDescent="0.4">
      <c r="A23" s="16">
        <v>19</v>
      </c>
      <c r="B23" s="7">
        <v>98041</v>
      </c>
      <c r="C23" s="63">
        <v>27580</v>
      </c>
      <c r="D23" s="7">
        <f>2024-1975</f>
        <v>49</v>
      </c>
      <c r="E23" s="17" t="s">
        <v>41</v>
      </c>
      <c r="F23" s="20" t="s">
        <v>4</v>
      </c>
    </row>
    <row r="24" spans="1:10" ht="37.5" customHeight="1" thickBot="1" x14ac:dyDescent="0.4">
      <c r="A24" s="16">
        <v>20</v>
      </c>
      <c r="B24" s="7">
        <v>98079</v>
      </c>
      <c r="C24" s="63">
        <v>28136</v>
      </c>
      <c r="D24" s="7">
        <f>2024-1977</f>
        <v>47</v>
      </c>
      <c r="E24" s="17" t="s">
        <v>42</v>
      </c>
      <c r="F24" s="20" t="s">
        <v>4</v>
      </c>
    </row>
    <row r="25" spans="1:10" ht="37.5" customHeight="1" thickBot="1" x14ac:dyDescent="0.4">
      <c r="A25" s="16">
        <v>21</v>
      </c>
      <c r="B25" s="7">
        <v>12009</v>
      </c>
      <c r="C25" s="63">
        <v>31790</v>
      </c>
      <c r="D25" s="7">
        <f>2024-1987</f>
        <v>37</v>
      </c>
      <c r="E25" s="17" t="s">
        <v>43</v>
      </c>
      <c r="F25" s="20" t="s">
        <v>4</v>
      </c>
    </row>
    <row r="26" spans="1:10" ht="37.5" customHeight="1" thickBot="1" x14ac:dyDescent="0.4">
      <c r="A26" s="16">
        <v>22</v>
      </c>
      <c r="B26" s="7">
        <v>99005</v>
      </c>
      <c r="C26" s="63">
        <v>28989</v>
      </c>
      <c r="D26" s="7">
        <f t="shared" si="0"/>
        <v>59</v>
      </c>
      <c r="E26" s="17" t="s">
        <v>44</v>
      </c>
      <c r="F26" s="20" t="s">
        <v>4</v>
      </c>
    </row>
    <row r="27" spans="1:10" ht="37.5" customHeight="1" thickBot="1" x14ac:dyDescent="0.4">
      <c r="A27" s="16">
        <v>23</v>
      </c>
      <c r="B27" s="7">
        <v>21023</v>
      </c>
      <c r="C27" s="63">
        <v>27980</v>
      </c>
      <c r="D27" s="7">
        <f>2024-1976</f>
        <v>48</v>
      </c>
      <c r="E27" s="17" t="s">
        <v>45</v>
      </c>
      <c r="F27" s="20" t="s">
        <v>4</v>
      </c>
    </row>
    <row r="28" spans="1:10" ht="36" customHeight="1" thickBot="1" x14ac:dyDescent="0.4">
      <c r="A28" s="138">
        <v>24</v>
      </c>
      <c r="B28" s="140">
        <v>10021</v>
      </c>
      <c r="C28" s="66">
        <v>27885</v>
      </c>
      <c r="D28" s="67">
        <f>2024-1976</f>
        <v>48</v>
      </c>
      <c r="E28" s="142" t="s">
        <v>46</v>
      </c>
      <c r="F28" s="79" t="s">
        <v>18</v>
      </c>
    </row>
    <row r="29" spans="1:10" ht="56.25" hidden="1" customHeight="1" thickBot="1" x14ac:dyDescent="0.4">
      <c r="A29" s="139"/>
      <c r="B29" s="146"/>
      <c r="C29" s="66"/>
      <c r="D29" s="67">
        <f t="shared" si="0"/>
        <v>59</v>
      </c>
      <c r="E29" s="143"/>
      <c r="F29" s="80"/>
      <c r="G29" s="9"/>
      <c r="H29" s="9"/>
      <c r="I29" s="9"/>
      <c r="J29" s="9"/>
    </row>
    <row r="30" spans="1:10" ht="36" customHeight="1" thickBot="1" x14ac:dyDescent="0.4">
      <c r="A30" s="33">
        <v>25</v>
      </c>
      <c r="B30" s="34">
        <v>11151</v>
      </c>
      <c r="C30" s="66">
        <v>29553</v>
      </c>
      <c r="D30" s="67">
        <f>2024-1980</f>
        <v>44</v>
      </c>
      <c r="E30" s="35" t="s">
        <v>47</v>
      </c>
      <c r="F30" s="79" t="s">
        <v>18</v>
      </c>
    </row>
    <row r="31" spans="1:10" ht="33" customHeight="1" thickBot="1" x14ac:dyDescent="0.4">
      <c r="A31" s="138">
        <v>26</v>
      </c>
      <c r="B31" s="140">
        <v>12078</v>
      </c>
      <c r="C31" s="66">
        <v>28759</v>
      </c>
      <c r="D31" s="67">
        <f>2024-1978</f>
        <v>46</v>
      </c>
      <c r="E31" s="142" t="s">
        <v>48</v>
      </c>
      <c r="F31" s="79" t="s">
        <v>18</v>
      </c>
    </row>
    <row r="32" spans="1:10" ht="47.25" hidden="1" customHeight="1" thickBot="1" x14ac:dyDescent="0.4">
      <c r="A32" s="139"/>
      <c r="B32" s="141"/>
      <c r="C32" s="66"/>
      <c r="D32" s="67">
        <f t="shared" si="0"/>
        <v>59</v>
      </c>
      <c r="E32" s="143"/>
      <c r="F32" s="80"/>
    </row>
    <row r="33" spans="1:6" ht="37.5" customHeight="1" thickBot="1" x14ac:dyDescent="0.4">
      <c r="A33" s="138">
        <v>27</v>
      </c>
      <c r="B33" s="140">
        <v>12079</v>
      </c>
      <c r="C33" s="66">
        <v>33191</v>
      </c>
      <c r="D33" s="67">
        <f>2024-1990</f>
        <v>34</v>
      </c>
      <c r="E33" s="142" t="s">
        <v>49</v>
      </c>
      <c r="F33" s="79" t="s">
        <v>18</v>
      </c>
    </row>
    <row r="34" spans="1:6" ht="1.5" customHeight="1" thickBot="1" x14ac:dyDescent="0.4">
      <c r="A34" s="139"/>
      <c r="B34" s="141"/>
      <c r="C34" s="66"/>
      <c r="D34" s="67">
        <f t="shared" si="0"/>
        <v>59</v>
      </c>
      <c r="E34" s="143"/>
      <c r="F34" s="80"/>
    </row>
    <row r="35" spans="1:6" ht="39" customHeight="1" thickBot="1" x14ac:dyDescent="0.4">
      <c r="A35" s="138">
        <v>28</v>
      </c>
      <c r="B35" s="140">
        <v>12084</v>
      </c>
      <c r="C35" s="66">
        <v>31944</v>
      </c>
      <c r="D35" s="67">
        <f>2024-1987</f>
        <v>37</v>
      </c>
      <c r="E35" s="142" t="s">
        <v>50</v>
      </c>
      <c r="F35" s="79" t="s">
        <v>18</v>
      </c>
    </row>
    <row r="36" spans="1:6" ht="0.75" customHeight="1" thickBot="1" x14ac:dyDescent="0.4">
      <c r="A36" s="139"/>
      <c r="B36" s="141"/>
      <c r="C36" s="66"/>
      <c r="D36" s="67">
        <f t="shared" si="0"/>
        <v>59</v>
      </c>
      <c r="E36" s="143"/>
      <c r="F36" s="80"/>
    </row>
    <row r="37" spans="1:6" ht="39.75" customHeight="1" thickBot="1" x14ac:dyDescent="0.4">
      <c r="A37" s="138">
        <v>29</v>
      </c>
      <c r="B37" s="140">
        <v>12081</v>
      </c>
      <c r="C37" s="66">
        <v>32067</v>
      </c>
      <c r="D37" s="67">
        <f>2024-1987</f>
        <v>37</v>
      </c>
      <c r="E37" s="142" t="s">
        <v>51</v>
      </c>
      <c r="F37" s="79" t="s">
        <v>18</v>
      </c>
    </row>
    <row r="38" spans="1:6" ht="42.75" hidden="1" customHeight="1" thickBot="1" x14ac:dyDescent="0.4">
      <c r="A38" s="147"/>
      <c r="B38" s="146"/>
      <c r="C38" s="66"/>
      <c r="D38" s="67">
        <f t="shared" si="0"/>
        <v>59</v>
      </c>
      <c r="E38" s="148"/>
      <c r="F38" s="80"/>
    </row>
    <row r="39" spans="1:6" ht="66.75" hidden="1" customHeight="1" thickBot="1" x14ac:dyDescent="0.4">
      <c r="A39" s="139"/>
      <c r="B39" s="141"/>
      <c r="C39" s="66"/>
      <c r="D39" s="67">
        <f t="shared" si="0"/>
        <v>59</v>
      </c>
      <c r="E39" s="143"/>
      <c r="F39" s="80"/>
    </row>
    <row r="40" spans="1:6" ht="36" customHeight="1" thickBot="1" x14ac:dyDescent="0.4">
      <c r="A40" s="138">
        <v>30</v>
      </c>
      <c r="B40" s="140">
        <v>93268</v>
      </c>
      <c r="C40" s="66">
        <v>25992</v>
      </c>
      <c r="D40" s="67">
        <f>2024-1971</f>
        <v>53</v>
      </c>
      <c r="E40" s="142" t="s">
        <v>52</v>
      </c>
      <c r="F40" s="79" t="s">
        <v>18</v>
      </c>
    </row>
    <row r="41" spans="1:6" ht="0.75" customHeight="1" thickBot="1" x14ac:dyDescent="0.4">
      <c r="A41" s="139"/>
      <c r="B41" s="141"/>
      <c r="C41" s="66"/>
      <c r="D41" s="67">
        <f t="shared" si="0"/>
        <v>59</v>
      </c>
      <c r="E41" s="143"/>
      <c r="F41" s="80"/>
    </row>
    <row r="42" spans="1:6" ht="34.5" customHeight="1" thickBot="1" x14ac:dyDescent="0.4">
      <c r="A42" s="36">
        <v>31</v>
      </c>
      <c r="B42" s="37">
        <v>88085</v>
      </c>
      <c r="C42" s="66">
        <v>23599</v>
      </c>
      <c r="D42" s="67">
        <f>2024-1964</f>
        <v>60</v>
      </c>
      <c r="E42" s="65" t="s">
        <v>53</v>
      </c>
      <c r="F42" s="79" t="s">
        <v>18</v>
      </c>
    </row>
    <row r="43" spans="1:6" ht="35.25" customHeight="1" thickBot="1" x14ac:dyDescent="0.4">
      <c r="A43" s="138">
        <v>32</v>
      </c>
      <c r="B43" s="140">
        <v>95074</v>
      </c>
      <c r="C43" s="66">
        <v>26156</v>
      </c>
      <c r="D43" s="67">
        <f>2024-1971</f>
        <v>53</v>
      </c>
      <c r="E43" s="142" t="s">
        <v>54</v>
      </c>
      <c r="F43" s="79" t="s">
        <v>18</v>
      </c>
    </row>
    <row r="44" spans="1:6" ht="36" hidden="1" customHeight="1" thickBot="1" x14ac:dyDescent="0.4">
      <c r="A44" s="139"/>
      <c r="B44" s="141"/>
      <c r="C44" s="66"/>
      <c r="D44" s="67">
        <f t="shared" si="0"/>
        <v>59</v>
      </c>
      <c r="E44" s="143"/>
      <c r="F44" s="80"/>
    </row>
    <row r="45" spans="1:6" ht="36.75" customHeight="1" thickBot="1" x14ac:dyDescent="0.4">
      <c r="A45" s="36">
        <v>33</v>
      </c>
      <c r="B45" s="37">
        <v>99230</v>
      </c>
      <c r="C45" s="66">
        <v>27551</v>
      </c>
      <c r="D45" s="67">
        <f>2024-1975</f>
        <v>49</v>
      </c>
      <c r="E45" s="35" t="s">
        <v>55</v>
      </c>
      <c r="F45" s="79" t="s">
        <v>18</v>
      </c>
    </row>
    <row r="46" spans="1:6" ht="35.25" customHeight="1" thickBot="1" x14ac:dyDescent="0.4">
      <c r="A46" s="36">
        <v>34</v>
      </c>
      <c r="B46" s="37">
        <v>99257</v>
      </c>
      <c r="C46" s="66">
        <v>27986</v>
      </c>
      <c r="D46" s="67">
        <f>2024-1976</f>
        <v>48</v>
      </c>
      <c r="E46" s="35" t="s">
        <v>56</v>
      </c>
      <c r="F46" s="79" t="s">
        <v>18</v>
      </c>
    </row>
    <row r="47" spans="1:6" ht="35.25" customHeight="1" thickBot="1" x14ac:dyDescent="0.4">
      <c r="A47" s="36">
        <v>35</v>
      </c>
      <c r="B47" s="37">
        <v>99250</v>
      </c>
      <c r="C47" s="66">
        <v>28632</v>
      </c>
      <c r="D47" s="67">
        <f>2024-1978</f>
        <v>46</v>
      </c>
      <c r="E47" s="35" t="s">
        <v>57</v>
      </c>
      <c r="F47" s="79" t="s">
        <v>18</v>
      </c>
    </row>
  </sheetData>
  <mergeCells count="25">
    <mergeCell ref="A28:A29"/>
    <mergeCell ref="B28:B29"/>
    <mergeCell ref="E28:E29"/>
    <mergeCell ref="A31:A32"/>
    <mergeCell ref="B31:B32"/>
    <mergeCell ref="E31:E32"/>
    <mergeCell ref="A33:A34"/>
    <mergeCell ref="B33:B34"/>
    <mergeCell ref="E33:E34"/>
    <mergeCell ref="A37:A39"/>
    <mergeCell ref="B37:B39"/>
    <mergeCell ref="E37:E39"/>
    <mergeCell ref="A35:A36"/>
    <mergeCell ref="B35:B36"/>
    <mergeCell ref="E35:E36"/>
    <mergeCell ref="B1:F1"/>
    <mergeCell ref="A8:A9"/>
    <mergeCell ref="B8:B9"/>
    <mergeCell ref="E8:E9"/>
    <mergeCell ref="A43:A44"/>
    <mergeCell ref="B43:B44"/>
    <mergeCell ref="E43:E44"/>
    <mergeCell ref="A40:A41"/>
    <mergeCell ref="B40:B41"/>
    <mergeCell ref="E40:E41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63" fitToHeight="0" orientation="portrait" r:id="rId1"/>
  <headerFooter>
    <oddFooter>Page &amp;P de &amp;N</oddFooter>
  </headerFooter>
  <rowBreaks count="1" manualBreakCount="1">
    <brk id="27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5"/>
  <sheetViews>
    <sheetView workbookViewId="0">
      <selection activeCell="F24" sqref="F24"/>
    </sheetView>
  </sheetViews>
  <sheetFormatPr baseColWidth="10" defaultColWidth="11.453125" defaultRowHeight="14.5" x14ac:dyDescent="0.35"/>
  <cols>
    <col min="1" max="1" width="9.54296875" style="1" customWidth="1"/>
    <col min="2" max="2" width="22.81640625" style="2" customWidth="1"/>
    <col min="3" max="3" width="24.7265625" style="2" customWidth="1"/>
    <col min="4" max="4" width="18.1796875" style="2" customWidth="1"/>
    <col min="5" max="5" width="25.81640625" style="3" customWidth="1"/>
    <col min="6" max="6" width="20.54296875" style="2" customWidth="1"/>
    <col min="7" max="7" width="16" style="1" customWidth="1"/>
    <col min="8" max="16384" width="11.453125" style="1"/>
  </cols>
  <sheetData>
    <row r="1" spans="1:12" ht="78.75" customHeight="1" x14ac:dyDescent="0.35">
      <c r="B1" s="129" t="s">
        <v>104</v>
      </c>
      <c r="C1" s="129"/>
      <c r="D1" s="129"/>
      <c r="E1" s="129"/>
      <c r="F1" s="129"/>
    </row>
    <row r="2" spans="1:12" ht="11.25" customHeight="1" thickBot="1" x14ac:dyDescent="0.4"/>
    <row r="3" spans="1:12" ht="45.75" customHeight="1" thickBot="1" x14ac:dyDescent="0.4">
      <c r="B3" s="4" t="s">
        <v>0</v>
      </c>
      <c r="C3" s="4" t="s">
        <v>98</v>
      </c>
      <c r="D3" s="4" t="s">
        <v>100</v>
      </c>
      <c r="E3" s="5" t="s">
        <v>1</v>
      </c>
      <c r="F3" s="4" t="s">
        <v>2</v>
      </c>
      <c r="H3" s="149"/>
      <c r="I3" s="149"/>
      <c r="J3" s="149"/>
      <c r="K3" s="149"/>
      <c r="L3" s="149"/>
    </row>
    <row r="4" spans="1:12" ht="33.75" customHeight="1" thickBot="1" x14ac:dyDescent="0.4">
      <c r="A4" s="6">
        <v>1</v>
      </c>
      <c r="B4" s="7">
        <v>99289</v>
      </c>
      <c r="C4" s="63">
        <v>24912</v>
      </c>
      <c r="D4" s="7">
        <f>2024-1968</f>
        <v>56</v>
      </c>
      <c r="E4" s="8" t="s">
        <v>3</v>
      </c>
      <c r="F4" s="20" t="s">
        <v>4</v>
      </c>
    </row>
    <row r="5" spans="1:12" ht="27.75" customHeight="1" thickBot="1" x14ac:dyDescent="0.4">
      <c r="A5" s="161">
        <v>2</v>
      </c>
      <c r="B5" s="105">
        <v>23085</v>
      </c>
      <c r="C5" s="63">
        <v>29320</v>
      </c>
      <c r="D5" s="7">
        <f>2024-1980</f>
        <v>44</v>
      </c>
      <c r="E5" s="109" t="s">
        <v>5</v>
      </c>
      <c r="F5" s="10" t="s">
        <v>4</v>
      </c>
    </row>
    <row r="6" spans="1:12" ht="1.5" customHeight="1" thickBot="1" x14ac:dyDescent="0.4">
      <c r="A6" s="162"/>
      <c r="B6" s="106"/>
      <c r="C6" s="63"/>
      <c r="D6" s="7">
        <f t="shared" ref="D6:D24" si="0">2024-1968</f>
        <v>56</v>
      </c>
      <c r="E6" s="160"/>
      <c r="F6" s="10"/>
    </row>
    <row r="7" spans="1:12" ht="54" hidden="1" customHeight="1" thickBot="1" x14ac:dyDescent="0.4">
      <c r="A7" s="163"/>
      <c r="B7" s="136"/>
      <c r="C7" s="63"/>
      <c r="D7" s="7">
        <f t="shared" si="0"/>
        <v>56</v>
      </c>
      <c r="E7" s="110"/>
      <c r="F7" s="10"/>
      <c r="G7" s="9"/>
      <c r="H7" s="9"/>
      <c r="I7" s="9"/>
      <c r="J7" s="9"/>
    </row>
    <row r="8" spans="1:12" ht="31.5" customHeight="1" thickBot="1" x14ac:dyDescent="0.4">
      <c r="A8" s="161">
        <v>3</v>
      </c>
      <c r="B8" s="105">
        <v>23083</v>
      </c>
      <c r="C8" s="63">
        <v>26706</v>
      </c>
      <c r="D8" s="7">
        <f>2024-1973</f>
        <v>51</v>
      </c>
      <c r="E8" s="109" t="s">
        <v>6</v>
      </c>
      <c r="F8" s="10" t="s">
        <v>4</v>
      </c>
    </row>
    <row r="9" spans="1:12" ht="54" hidden="1" customHeight="1" thickBot="1" x14ac:dyDescent="0.4">
      <c r="A9" s="163"/>
      <c r="B9" s="136"/>
      <c r="C9" s="63"/>
      <c r="D9" s="7">
        <f t="shared" si="0"/>
        <v>56</v>
      </c>
      <c r="E9" s="110"/>
      <c r="F9" s="10"/>
    </row>
    <row r="10" spans="1:12" ht="39" customHeight="1" thickBot="1" x14ac:dyDescent="0.4">
      <c r="A10" s="6">
        <v>4</v>
      </c>
      <c r="B10" s="7">
        <v>10010</v>
      </c>
      <c r="C10" s="63">
        <v>24340</v>
      </c>
      <c r="D10" s="7">
        <f>2024-1966</f>
        <v>58</v>
      </c>
      <c r="E10" s="8" t="s">
        <v>7</v>
      </c>
      <c r="F10" s="10" t="s">
        <v>4</v>
      </c>
    </row>
    <row r="11" spans="1:12" ht="33" customHeight="1" thickBot="1" x14ac:dyDescent="0.4">
      <c r="A11" s="161">
        <v>5</v>
      </c>
      <c r="B11" s="109">
        <v>12012</v>
      </c>
      <c r="C11" s="63">
        <v>25638</v>
      </c>
      <c r="D11" s="7">
        <f>2024-1970</f>
        <v>54</v>
      </c>
      <c r="E11" s="109" t="s">
        <v>8</v>
      </c>
      <c r="F11" s="10" t="s">
        <v>4</v>
      </c>
    </row>
    <row r="12" spans="1:12" ht="8.25" hidden="1" customHeight="1" thickBot="1" x14ac:dyDescent="0.4">
      <c r="A12" s="162"/>
      <c r="B12" s="160"/>
      <c r="C12" s="63"/>
      <c r="D12" s="7">
        <f t="shared" si="0"/>
        <v>56</v>
      </c>
      <c r="E12" s="160"/>
      <c r="F12" s="10"/>
    </row>
    <row r="13" spans="1:12" ht="37.5" hidden="1" customHeight="1" thickBot="1" x14ac:dyDescent="0.4">
      <c r="A13" s="163"/>
      <c r="B13" s="110"/>
      <c r="C13" s="63"/>
      <c r="D13" s="7">
        <f t="shared" si="0"/>
        <v>56</v>
      </c>
      <c r="E13" s="110"/>
      <c r="F13" s="10"/>
    </row>
    <row r="14" spans="1:12" ht="27.75" customHeight="1" thickBot="1" x14ac:dyDescent="0.4">
      <c r="A14" s="48">
        <v>6</v>
      </c>
      <c r="B14" s="46">
        <v>12092</v>
      </c>
      <c r="C14" s="68">
        <v>30764</v>
      </c>
      <c r="D14" s="69">
        <f>2024-1984</f>
        <v>40</v>
      </c>
      <c r="E14" s="46" t="s">
        <v>9</v>
      </c>
      <c r="F14" s="81" t="s">
        <v>10</v>
      </c>
      <c r="G14" s="11"/>
      <c r="H14" s="149"/>
      <c r="I14" s="149"/>
      <c r="J14" s="149"/>
      <c r="K14" s="149"/>
      <c r="L14" s="149"/>
    </row>
    <row r="15" spans="1:12" ht="27.75" customHeight="1" thickBot="1" x14ac:dyDescent="0.4">
      <c r="A15" s="48">
        <v>7</v>
      </c>
      <c r="B15" s="46">
        <v>90033</v>
      </c>
      <c r="C15" s="68">
        <v>23767</v>
      </c>
      <c r="D15" s="69">
        <f>2024-1965</f>
        <v>59</v>
      </c>
      <c r="E15" s="46" t="s">
        <v>11</v>
      </c>
      <c r="F15" s="82" t="s">
        <v>10</v>
      </c>
      <c r="G15" s="9"/>
      <c r="H15" s="9"/>
      <c r="I15" s="11"/>
    </row>
    <row r="16" spans="1:12" ht="27.75" customHeight="1" thickBot="1" x14ac:dyDescent="0.4">
      <c r="A16" s="41">
        <v>8</v>
      </c>
      <c r="B16" s="42">
        <v>22038</v>
      </c>
      <c r="C16" s="70">
        <v>24388</v>
      </c>
      <c r="D16" s="71">
        <f>2024-1966</f>
        <v>58</v>
      </c>
      <c r="E16" s="42" t="s">
        <v>12</v>
      </c>
      <c r="F16" s="85" t="s">
        <v>13</v>
      </c>
      <c r="G16" s="9"/>
      <c r="H16" s="9"/>
      <c r="I16" s="9"/>
    </row>
    <row r="17" spans="1:11" ht="27.75" customHeight="1" thickBot="1" x14ac:dyDescent="0.4">
      <c r="A17" s="41">
        <v>9</v>
      </c>
      <c r="B17" s="42">
        <v>22037</v>
      </c>
      <c r="C17" s="70">
        <v>26014</v>
      </c>
      <c r="D17" s="71">
        <f>2024-1971</f>
        <v>53</v>
      </c>
      <c r="E17" s="42" t="s">
        <v>14</v>
      </c>
      <c r="F17" s="75" t="s">
        <v>13</v>
      </c>
    </row>
    <row r="18" spans="1:11" ht="42" customHeight="1" thickBot="1" x14ac:dyDescent="0.4">
      <c r="A18" s="154">
        <v>10</v>
      </c>
      <c r="B18" s="115">
        <v>10041</v>
      </c>
      <c r="C18" s="72">
        <v>28659</v>
      </c>
      <c r="D18" s="73">
        <f>2024-1978</f>
        <v>46</v>
      </c>
      <c r="E18" s="156" t="s">
        <v>15</v>
      </c>
      <c r="F18" s="158" t="s">
        <v>16</v>
      </c>
      <c r="G18" s="12"/>
      <c r="H18" s="9"/>
      <c r="I18" s="9"/>
      <c r="J18" s="9"/>
    </row>
    <row r="19" spans="1:11" ht="56.25" hidden="1" customHeight="1" thickBot="1" x14ac:dyDescent="0.4">
      <c r="A19" s="155"/>
      <c r="B19" s="116"/>
      <c r="C19" s="63"/>
      <c r="D19" s="7">
        <f t="shared" si="0"/>
        <v>56</v>
      </c>
      <c r="E19" s="157"/>
      <c r="F19" s="159"/>
    </row>
    <row r="20" spans="1:11" ht="26.25" customHeight="1" thickBot="1" x14ac:dyDescent="0.4">
      <c r="A20" s="150">
        <v>11</v>
      </c>
      <c r="B20" s="152">
        <v>12060</v>
      </c>
      <c r="C20" s="66">
        <v>30120</v>
      </c>
      <c r="D20" s="67">
        <f>2024-1982</f>
        <v>42</v>
      </c>
      <c r="E20" s="152" t="s">
        <v>17</v>
      </c>
      <c r="F20" s="79" t="s">
        <v>18</v>
      </c>
    </row>
    <row r="21" spans="1:11" ht="78.75" hidden="1" customHeight="1" thickBot="1" x14ac:dyDescent="0.4">
      <c r="A21" s="151"/>
      <c r="B21" s="153"/>
      <c r="C21" s="66"/>
      <c r="D21" s="67">
        <f t="shared" si="0"/>
        <v>56</v>
      </c>
      <c r="E21" s="153"/>
      <c r="F21" s="80"/>
      <c r="G21" s="9"/>
      <c r="H21" s="9"/>
      <c r="I21" s="9"/>
      <c r="J21" s="9"/>
      <c r="K21" s="9"/>
    </row>
    <row r="22" spans="1:11" ht="36" customHeight="1" thickBot="1" x14ac:dyDescent="0.4">
      <c r="A22" s="38">
        <v>12</v>
      </c>
      <c r="B22" s="39">
        <v>12073</v>
      </c>
      <c r="C22" s="66">
        <v>31311</v>
      </c>
      <c r="D22" s="67">
        <f>2024-1985</f>
        <v>39</v>
      </c>
      <c r="E22" s="40" t="s">
        <v>19</v>
      </c>
      <c r="F22" s="80" t="s">
        <v>18</v>
      </c>
    </row>
    <row r="23" spans="1:11" ht="35.25" customHeight="1" thickBot="1" x14ac:dyDescent="0.4">
      <c r="A23" s="49">
        <v>13</v>
      </c>
      <c r="B23" s="50">
        <v>22059</v>
      </c>
      <c r="C23" s="64">
        <v>22771</v>
      </c>
      <c r="D23" s="55">
        <f>2024-1962</f>
        <v>62</v>
      </c>
      <c r="E23" s="50" t="s">
        <v>20</v>
      </c>
      <c r="F23" s="83" t="s">
        <v>21</v>
      </c>
      <c r="G23" s="14"/>
      <c r="H23" s="14"/>
      <c r="I23" s="14"/>
    </row>
    <row r="24" spans="1:11" ht="27.75" customHeight="1" thickBot="1" x14ac:dyDescent="0.4">
      <c r="A24" s="49">
        <v>14</v>
      </c>
      <c r="B24" s="50">
        <v>22036</v>
      </c>
      <c r="C24" s="64">
        <v>25100</v>
      </c>
      <c r="D24" s="55">
        <f t="shared" si="0"/>
        <v>56</v>
      </c>
      <c r="E24" s="50" t="s">
        <v>22</v>
      </c>
      <c r="F24" s="84" t="s">
        <v>21</v>
      </c>
      <c r="G24" s="14"/>
      <c r="H24" s="14"/>
      <c r="I24" s="14"/>
    </row>
    <row r="25" spans="1:11" ht="18.5" x14ac:dyDescent="0.35">
      <c r="A25" s="15"/>
    </row>
  </sheetData>
  <mergeCells count="19">
    <mergeCell ref="A11:A13"/>
    <mergeCell ref="A5:A7"/>
    <mergeCell ref="B5:B7"/>
    <mergeCell ref="E5:E7"/>
    <mergeCell ref="A8:A9"/>
    <mergeCell ref="B8:B9"/>
    <mergeCell ref="E8:E9"/>
    <mergeCell ref="B1:F1"/>
    <mergeCell ref="B11:B13"/>
    <mergeCell ref="E11:E13"/>
    <mergeCell ref="H3:L3"/>
    <mergeCell ref="H14:L14"/>
    <mergeCell ref="A20:A21"/>
    <mergeCell ref="B20:B21"/>
    <mergeCell ref="E20:E21"/>
    <mergeCell ref="A18:A19"/>
    <mergeCell ref="B18:B19"/>
    <mergeCell ref="E18:E19"/>
    <mergeCell ref="F18:F19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63" fitToHeight="0" orientation="portrait" r:id="rId1"/>
  <headerFooter>
    <oddFooter>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GAT </vt:lpstr>
      <vt:lpstr>Passerelle</vt:lpstr>
      <vt:lpstr>PPA </vt:lpstr>
      <vt:lpstr>'GAT '!Zone_d_impression</vt:lpstr>
      <vt:lpstr>Passerelle!Zone_d_impression</vt:lpstr>
      <vt:lpstr>'PPA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n.kadhkadhi</dc:creator>
  <cp:lastModifiedBy>salma marzouki</cp:lastModifiedBy>
  <dcterms:created xsi:type="dcterms:W3CDTF">2024-02-19T09:57:38Z</dcterms:created>
  <dcterms:modified xsi:type="dcterms:W3CDTF">2025-07-16T11:01:22Z</dcterms:modified>
</cp:coreProperties>
</file>